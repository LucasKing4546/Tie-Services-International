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Page Map" sheetId="1" r:id="rId1"/>
    <sheet name="Meta Tag Rules" sheetId="2" r:id="rId2"/>
    <sheet name="SEO Keywords" sheetId="3" r:id="rId3"/>
    <sheet name="Image Brief" sheetId="4" r:id="rId4"/>
    <sheet name="Legend" sheetId="5" r:id="rId5"/>
  </sheets>
  <definedNames>
    <definedName name="_xlnm._FilterDatabase" localSheetId="0" hidden="1">'Page Map'!A1:V70</definedName>
    <definedName name="_xlnm._FilterDatabase" localSheetId="2" hidden="1">'SEO Keywords'!A1:F52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V73"/>
  <sheetViews>
    <sheetView workbookViewId="0" rightToLeft="0"/>
  </sheetViews>
  <sheetData>
    <row r="1">
      <c r="A1" t="str">
        <v>Page ID</v>
      </c>
      <c r="B1" t="str">
        <v>Section</v>
      </c>
      <c r="C1" t="str">
        <v>Page name</v>
      </c>
      <c r="D1" t="str">
        <v>URL slug</v>
      </c>
      <c r="E1" t="str">
        <v>Template</v>
      </c>
      <c r="F1" t="str">
        <v>Avatar</v>
      </c>
      <c r="G1" t="str">
        <v>Access</v>
      </c>
      <c r="H1" t="str">
        <v>Pri</v>
      </c>
      <c r="I1" t="str">
        <v>Title tag</v>
      </c>
      <c r="J1" t="str">
        <v>Len</v>
      </c>
      <c r="K1" t="str">
        <v>Meta description</v>
      </c>
      <c r="L1" t="str">
        <v>Len</v>
      </c>
      <c r="M1" t="str">
        <v>H1</v>
      </c>
      <c r="N1" t="str">
        <v>Primary keyword</v>
      </c>
      <c r="O1" t="str">
        <v>Secondary keywords</v>
      </c>
      <c r="P1" t="str">
        <v>Schema</v>
      </c>
      <c r="Q1" t="str">
        <v>OG image brief</v>
      </c>
      <c r="R1" t="str">
        <v>Key content blocks</v>
      </c>
      <c r="S1" t="str">
        <v>Primary CTA</v>
      </c>
      <c r="T1" t="str">
        <v>Words</v>
      </c>
      <c r="U1" t="str">
        <v>Source</v>
      </c>
      <c r="V1" t="str">
        <v>Status</v>
      </c>
    </row>
    <row r="2">
      <c r="A2" t="str">
        <v>H-01</v>
      </c>
      <c r="B2" t="str">
        <v>Home</v>
      </c>
      <c r="C2" t="str">
        <v>Homepage</v>
      </c>
      <c r="D2" t="str">
        <v>/</v>
      </c>
      <c r="E2" t="str">
        <v>Home</v>
      </c>
      <c r="F2" t="str">
        <v>ALL</v>
      </c>
      <c r="G2" t="str">
        <v>Open</v>
      </c>
      <c r="H2" t="str">
        <v>P1</v>
      </c>
      <c r="I2" t="str">
        <v>Deck Equipment for Research &amp; Survey Vessels | RTG</v>
      </c>
      <c r="J2">
        <f>LEN(I2)</f>
        <v>50</v>
      </c>
      <c r="K2" t="str">
        <v>Custom winches, launch and recovery systems and deck machinery for research, survey and geotechnical vessels. Designed in the UK, built and tested in the EU.</v>
      </c>
      <c r="L2">
        <f>LEN(K2)</f>
        <v>157</v>
      </c>
      <c r="M2" t="str">
        <v>Deck equipment built for the work, not the brochure</v>
      </c>
      <c r="N2" t="str">
        <v>marine deck equipment manufacturer</v>
      </c>
      <c r="O2" t="str">
        <v>custom winches; launch and recovery systems; survey vessel deck machinery; deck handling equipment</v>
      </c>
      <c r="P2" t="str">
        <v>Organization</v>
      </c>
      <c r="Q2" t="str">
        <v>Winch on a working deck, crew member in shot, sea state visible</v>
      </c>
      <c r="R2" t="str">
        <v>Hero; three avatar doors; three avatar strips; proof bar; testimonials; featured case study; bulletin sign-up</v>
      </c>
      <c r="S2" t="str">
        <v>Three doors (choose your route)</v>
      </c>
      <c r="T2">
        <v>350</v>
      </c>
      <c r="U2" t="str">
        <v>Rewrite</v>
      </c>
      <c r="V2" t="str">
        <v>Not started</v>
      </c>
    </row>
    <row r="3">
      <c r="A3" t="str">
        <v>S-00</v>
      </c>
      <c r="B3" t="str">
        <v>Sectors</v>
      </c>
      <c r="C3" t="str">
        <v>Sectors hub</v>
      </c>
      <c r="D3" t="str">
        <v>/sectors/</v>
      </c>
      <c r="E3" t="str">
        <v>Hub</v>
      </c>
      <c r="F3" t="str">
        <v>ALL</v>
      </c>
      <c r="G3" t="str">
        <v>Open</v>
      </c>
      <c r="H3" t="str">
        <v>P1</v>
      </c>
      <c r="I3" t="str">
        <v>Sectors We Supply | Survey, Geotechnical, Wind | RTG</v>
      </c>
      <c r="J3">
        <f>LEN(I3)</f>
        <v>52</v>
      </c>
      <c r="K3" t="str">
        <v>RTG deck equipment works across ocean survey, marine geotechnical, offshore wind and cables, seismic, research, subsea and defence. Find your sector.</v>
      </c>
      <c r="L3">
        <f>LEN(K3)</f>
        <v>149</v>
      </c>
      <c r="M3" t="str">
        <v>The sectors we build for</v>
      </c>
      <c r="N3" t="str">
        <v>marine deck equipment sectors</v>
      </c>
      <c r="O3" t="str">
        <v>offshore survey equipment; geotechnical handling; offshore wind survey equipment</v>
      </c>
      <c r="P3" t="str">
        <v>CollectionPage</v>
      </c>
      <c r="Q3" t="str">
        <v>Composite of four sector images in a grid</v>
      </c>
      <c r="R3" t="str">
        <v>Intro; seven sector tiles with photography; proof bar</v>
      </c>
      <c r="S3" t="str">
        <v>Enter your sector</v>
      </c>
      <c r="T3">
        <v>250</v>
      </c>
      <c r="U3" t="str">
        <v>New</v>
      </c>
      <c r="V3" t="str">
        <v>Not started</v>
      </c>
    </row>
    <row r="4">
      <c r="A4" t="str">
        <v>S-01</v>
      </c>
      <c r="B4" t="str">
        <v>Sectors</v>
      </c>
      <c r="C4" t="str">
        <v>Ocean Survey &amp; Hydrography</v>
      </c>
      <c r="D4" t="str">
        <v>/sectors/ocean-survey-hydrography/</v>
      </c>
      <c r="E4" t="str">
        <v>Sector</v>
      </c>
      <c r="F4" t="str">
        <v>AV01</v>
      </c>
      <c r="G4" t="str">
        <v>Open</v>
      </c>
      <c r="H4" t="str">
        <v>P1</v>
      </c>
      <c r="I4" t="str">
        <v>Survey &amp; Hydrographic Winches and LARS | RTG</v>
      </c>
      <c r="J4">
        <f>LEN(I4)</f>
        <v>44</v>
      </c>
      <c r="K4" t="str">
        <v>Winches and launch and recovery systems for hydrographic and geophysical survey: CTD, side scan, magnetometer, sub-bottom profiler and deep tow, 300 to 4,000 m.</v>
      </c>
      <c r="L4">
        <f>LEN(K4)</f>
        <v>160</v>
      </c>
      <c r="M4" t="str">
        <v>Handling systems for survey and hydrographic work</v>
      </c>
      <c r="N4" t="str">
        <v>hydrographic survey winch</v>
      </c>
      <c r="O4" t="str">
        <v>survey winch manufacturer; CTD winch; magnetometer winch; deep tow handling system</v>
      </c>
      <c r="P4" t="str">
        <v>Service</v>
      </c>
      <c r="Q4" t="str">
        <v>Survey winch deploying a towfish over the stern</v>
      </c>
      <c r="R4" t="str">
        <v>The problem in the buyer's words; equipment for this sector; proof; technical note; two CTAs</v>
      </c>
      <c r="S4" t="str">
        <v>Request the survey range datasheets</v>
      </c>
      <c r="T4">
        <v>700</v>
      </c>
      <c r="U4" t="str">
        <v>New</v>
      </c>
      <c r="V4" t="str">
        <v>Not started</v>
      </c>
    </row>
    <row r="5">
      <c r="A5" t="str">
        <v>S-02</v>
      </c>
      <c r="B5" t="str">
        <v>Sectors</v>
      </c>
      <c r="C5" t="str">
        <v>Marine Geotechnical</v>
      </c>
      <c r="D5" t="str">
        <v>/sectors/marine-geotechnical/</v>
      </c>
      <c r="E5" t="str">
        <v>Sector</v>
      </c>
      <c r="F5" t="str">
        <v>AV01</v>
      </c>
      <c r="G5" t="str">
        <v>Open</v>
      </c>
      <c r="H5" t="str">
        <v>P1</v>
      </c>
      <c r="I5" t="str">
        <v>Geotechnical Handling Systems &amp; CPT Winches | RTG</v>
      </c>
      <c r="J5">
        <f>LEN(I5)</f>
        <v>49</v>
      </c>
      <c r="K5" t="str">
        <v>Corer, CPT and vibrocorer handling systems with tension control for seabed sampling. Proven to a 3,000 m working depth on a CPT sampling system.</v>
      </c>
      <c r="L5">
        <f>LEN(K5)</f>
        <v>144</v>
      </c>
      <c r="M5" t="str">
        <v>When the tool is fixed to the seabed and the ship is not</v>
      </c>
      <c r="N5" t="str">
        <v>geotechnical handling system</v>
      </c>
      <c r="O5" t="str">
        <v>CPT winch; corer handling system; seabed sampling winch; tension control winch</v>
      </c>
      <c r="P5" t="str">
        <v>Service</v>
      </c>
      <c r="Q5" t="str">
        <v>Corer being recovered over the side, tension visible in the wire</v>
      </c>
      <c r="R5" t="str">
        <v>The captive-tool problem; tension control explained; the 3,000 m record; equipment; case study link</v>
      </c>
      <c r="S5" t="str">
        <v>Talk to a geotechnical engineer</v>
      </c>
      <c r="T5">
        <v>900</v>
      </c>
      <c r="U5" t="str">
        <v>New</v>
      </c>
      <c r="V5" t="str">
        <v>Not started</v>
      </c>
    </row>
    <row r="6">
      <c r="A6" t="str">
        <v>S-03</v>
      </c>
      <c r="B6" t="str">
        <v>Sectors</v>
      </c>
      <c r="C6" t="str">
        <v>Offshore Wind &amp; Subsea Cables</v>
      </c>
      <c r="D6" t="str">
        <v>/sectors/offshore-wind-subsea-cables/</v>
      </c>
      <c r="E6" t="str">
        <v>Sector</v>
      </c>
      <c r="F6" t="str">
        <v>AV01</v>
      </c>
      <c r="G6" t="str">
        <v>Open</v>
      </c>
      <c r="H6" t="str">
        <v>P1</v>
      </c>
      <c r="I6" t="str">
        <v>Offshore Wind &amp; Subsea Cable Handling Equipment | RTG</v>
      </c>
      <c r="J6">
        <f>LEN(I6)</f>
        <v>53</v>
      </c>
      <c r="K6" t="str">
        <v>Site investigation handling, cable tensioners from 5 to 20 tonnes and containerised cable spreads for offshore wind arrays, export cables and interconnectors.</v>
      </c>
      <c r="L6">
        <f>LEN(K6)</f>
        <v>158</v>
      </c>
      <c r="M6" t="str">
        <v>Every turbine starts with a core sample. Every array ends with a cable.</v>
      </c>
      <c r="N6" t="str">
        <v>subsea cable tensioner</v>
      </c>
      <c r="O6" t="str">
        <v>cable laying equipment; offshore wind survey equipment; cable handling system; cable carousel</v>
      </c>
      <c r="P6" t="str">
        <v>Service</v>
      </c>
      <c r="Q6" t="str">
        <v>Cable tensioner skid on deck with cable running through</v>
      </c>
      <c r="R6" t="str">
        <v>Site investigation; cable handling; self-contained skids for vessels of opportunity; lead times</v>
      </c>
      <c r="S6" t="str">
        <v>Check tensioner availability</v>
      </c>
      <c r="T6">
        <v>800</v>
      </c>
      <c r="U6" t="str">
        <v>New</v>
      </c>
      <c r="V6" t="str">
        <v>Not started</v>
      </c>
    </row>
    <row r="7">
      <c r="A7" t="str">
        <v>S-04</v>
      </c>
      <c r="B7" t="str">
        <v>Sectors</v>
      </c>
      <c r="C7" t="str">
        <v>Seismic</v>
      </c>
      <c r="D7" t="str">
        <v>/sectors/seismic/</v>
      </c>
      <c r="E7" t="str">
        <v>Sector</v>
      </c>
      <c r="F7" t="str">
        <v>AV01</v>
      </c>
      <c r="G7" t="str">
        <v>Open</v>
      </c>
      <c r="H7" t="str">
        <v>P2</v>
      </c>
      <c r="I7" t="str">
        <v>Seismic Source and Streamer Handling Systems | RTG</v>
      </c>
      <c r="J7">
        <f>LEN(I7)</f>
        <v>50</v>
      </c>
      <c r="K7" t="str">
        <v>Seismic winches, source handling and streamer deployment systems for 2D and 3D marine seismic acquisition, designed for continuous duty at sea.</v>
      </c>
      <c r="L7">
        <f>LEN(K7)</f>
        <v>143</v>
      </c>
      <c r="M7" t="str">
        <v>Seismic handling built for continuous duty</v>
      </c>
      <c r="N7" t="str">
        <v>seismic handling system</v>
      </c>
      <c r="O7" t="str">
        <v>seismic winch; streamer handling; airgun source handling</v>
      </c>
      <c r="P7" t="str">
        <v>Service</v>
      </c>
      <c r="Q7" t="str">
        <v>Seismic deck spread, multiple winches in frame</v>
      </c>
      <c r="R7" t="str">
        <v>The problem; equipment; duty cycle and reliability; proof</v>
      </c>
      <c r="S7" t="str">
        <v>Request the seismic range</v>
      </c>
      <c r="T7">
        <v>600</v>
      </c>
      <c r="U7" t="str">
        <v>Rewrite</v>
      </c>
      <c r="V7" t="str">
        <v>Not started</v>
      </c>
    </row>
    <row r="8">
      <c r="A8" t="str">
        <v>S-05</v>
      </c>
      <c r="B8" t="str">
        <v>Sectors</v>
      </c>
      <c r="C8" t="str">
        <v>Oceanographic Research</v>
      </c>
      <c r="D8" t="str">
        <v>/sectors/oceanographic-research/</v>
      </c>
      <c r="E8" t="str">
        <v>Sector</v>
      </c>
      <c r="F8" t="str">
        <v>AV01</v>
      </c>
      <c r="G8" t="str">
        <v>Open</v>
      </c>
      <c r="H8" t="str">
        <v>P1</v>
      </c>
      <c r="I8" t="str">
        <v>Oceanographic Research Winches | CTD &amp; Deep Tow | RTG</v>
      </c>
      <c r="J8">
        <f>LEN(I8)</f>
        <v>53</v>
      </c>
      <c r="K8" t="str">
        <v>Research winches for CTD, coring and deep tow work, from 300 to 4,000 m, electric or hydraulic, with precise slow-speed control for repeatable casts.</v>
      </c>
      <c r="L8">
        <f>LEN(K8)</f>
        <v>149</v>
      </c>
      <c r="M8" t="str">
        <v>A CTD cast is a measurement, not a lift</v>
      </c>
      <c r="N8" t="str">
        <v>oceanographic research winch</v>
      </c>
      <c r="O8" t="str">
        <v>CTD winch; research vessel winch; scientific winch; deep tow winch</v>
      </c>
      <c r="P8" t="str">
        <v>Service</v>
      </c>
      <c r="Q8" t="str">
        <v>Research vessel A-frame at sea, scientists on deck</v>
      </c>
      <c r="R8" t="str">
        <v>Why a winch is part of the instrument; slow-speed control; the range; institutions served</v>
      </c>
      <c r="S8" t="str">
        <v>Request the research winch datasheets</v>
      </c>
      <c r="T8">
        <v>750</v>
      </c>
      <c r="U8" t="str">
        <v>New</v>
      </c>
      <c r="V8" t="str">
        <v>Not started</v>
      </c>
    </row>
    <row r="9">
      <c r="A9" t="str">
        <v>S-06</v>
      </c>
      <c r="B9" t="str">
        <v>Sectors</v>
      </c>
      <c r="C9" t="str">
        <v>Subsea, ROV &amp; Diving</v>
      </c>
      <c r="D9" t="str">
        <v>/sectors/subsea-rov-diving/</v>
      </c>
      <c r="E9" t="str">
        <v>Sector</v>
      </c>
      <c r="F9" t="str">
        <v>AV01</v>
      </c>
      <c r="G9" t="str">
        <v>Open</v>
      </c>
      <c r="H9" t="str">
        <v>P2</v>
      </c>
      <c r="I9" t="str">
        <v>ROV LARS, Umbilical Winches &amp; Dive Systems | RTG</v>
      </c>
      <c r="J9">
        <f>LEN(I9)</f>
        <v>48</v>
      </c>
      <c r="K9" t="str">
        <v>ROV launch and recovery systems, umbilical and tow winches, diver basket handling and man-riding systems built to class and proven under load.</v>
      </c>
      <c r="L9">
        <f>LEN(K9)</f>
        <v>142</v>
      </c>
      <c r="M9" t="str">
        <v>An ROV is only as available as its umbilical winch</v>
      </c>
      <c r="N9" t="str">
        <v>ROV launch and recovery system</v>
      </c>
      <c r="O9" t="str">
        <v>ROV winch; umbilical winch; diver basket handling; man riding winch</v>
      </c>
      <c r="P9" t="str">
        <v>Service</v>
      </c>
      <c r="Q9" t="str">
        <v>ROV LARS mid-deployment through the moonpool or over the side</v>
      </c>
      <c r="R9" t="str">
        <v>Availability framing; the slip ring boundary; equipment; safety and class</v>
      </c>
      <c r="S9" t="str">
        <v>Talk to an engineer</v>
      </c>
      <c r="T9">
        <v>700</v>
      </c>
      <c r="U9" t="str">
        <v>New</v>
      </c>
      <c r="V9" t="str">
        <v>Not started</v>
      </c>
    </row>
    <row r="10">
      <c r="A10" t="str">
        <v>S-07</v>
      </c>
      <c r="B10" t="str">
        <v>Sectors</v>
      </c>
      <c r="C10" t="str">
        <v>Defence &amp; Government</v>
      </c>
      <c r="D10" t="str">
        <v>/sectors/defence-government/</v>
      </c>
      <c r="E10" t="str">
        <v>Sector</v>
      </c>
      <c r="F10" t="str">
        <v>AV01</v>
      </c>
      <c r="G10" t="str">
        <v>Open</v>
      </c>
      <c r="H10" t="str">
        <v>P2</v>
      </c>
      <c r="I10" t="str">
        <v>Deck Handling Equipment for Defence &amp; Government | RTG</v>
      </c>
      <c r="J10">
        <f>LEN(I10)</f>
        <v>54</v>
      </c>
      <c r="K10" t="str">
        <v>Deck machinery and handling systems for naval, coastguard and government research vessels, built to class with full material and weld traceability.</v>
      </c>
      <c r="L10">
        <f>LEN(K10)</f>
        <v>147</v>
      </c>
      <c r="M10" t="str">
        <v>Built for government and naval programmes</v>
      </c>
      <c r="N10" t="str">
        <v>naval deck handling equipment</v>
      </c>
      <c r="O10" t="str">
        <v>defence deck machinery; government research vessel equipment; military winch</v>
      </c>
      <c r="P10" t="str">
        <v>Service</v>
      </c>
      <c r="Q10" t="str">
        <v>Grey hull deck equipment, restrained and neutral composition</v>
      </c>
      <c r="R10" t="str">
        <v>Programme requirements; traceability and documentation; security of supply; class</v>
      </c>
      <c r="S10" t="str">
        <v>Enquire about a programme</v>
      </c>
      <c r="T10">
        <v>550</v>
      </c>
      <c r="U10" t="str">
        <v>New</v>
      </c>
      <c r="V10" t="str">
        <v>Not started</v>
      </c>
    </row>
    <row r="11">
      <c r="A11" t="str">
        <v>E-00</v>
      </c>
      <c r="B11" t="str">
        <v>Equipment</v>
      </c>
      <c r="C11" t="str">
        <v>Equipment hub</v>
      </c>
      <c r="D11" t="str">
        <v>/equipment/</v>
      </c>
      <c r="E11" t="str">
        <v>Hub</v>
      </c>
      <c r="F11" t="str">
        <v>AV01</v>
      </c>
      <c r="G11" t="str">
        <v>Open</v>
      </c>
      <c r="H11" t="str">
        <v>P1</v>
      </c>
      <c r="I11" t="str">
        <v>Winches, LARS &amp; Deck Machinery | Equipment | RTG</v>
      </c>
      <c r="J11">
        <f>LEN(I11)</f>
        <v>48</v>
      </c>
      <c r="K11" t="str">
        <v>The RTG equipment range: winches, launch and recovery systems, cranes, handling systems, power units and containerised spreads for survey and subsea work.</v>
      </c>
      <c r="L11">
        <f>LEN(K11)</f>
        <v>154</v>
      </c>
      <c r="M11" t="str">
        <v>The equipment range</v>
      </c>
      <c r="N11" t="str">
        <v>marine winch manufacturer</v>
      </c>
      <c r="O11" t="str">
        <v>deck machinery manufacturer; launch and recovery systems; offshore winches</v>
      </c>
      <c r="P11" t="str">
        <v>CollectionPage</v>
      </c>
      <c r="Q11" t="str">
        <v>Line-drawing composite of the range on a light ground</v>
      </c>
      <c r="R11" t="str">
        <v>Range tiles; applications cross-cut; how to specify; link to selector</v>
      </c>
      <c r="S11" t="str">
        <v>Find your configuration</v>
      </c>
      <c r="T11">
        <v>300</v>
      </c>
      <c r="U11" t="str">
        <v>Rewrite</v>
      </c>
      <c r="V11" t="str">
        <v>Not started</v>
      </c>
    </row>
    <row r="12">
      <c r="A12" t="str">
        <v>E-01</v>
      </c>
      <c r="B12" t="str">
        <v>Equipment</v>
      </c>
      <c r="C12" t="str">
        <v>Winches</v>
      </c>
      <c r="D12" t="str">
        <v>/equipment/winches/</v>
      </c>
      <c r="E12" t="str">
        <v>Hub</v>
      </c>
      <c r="F12" t="str">
        <v>AV01</v>
      </c>
      <c r="G12" t="str">
        <v>Open</v>
      </c>
      <c r="H12" t="str">
        <v>P1</v>
      </c>
      <c r="I12" t="str">
        <v>Marine Winches | Survey, Geotechnical &amp; ROV | RTG</v>
      </c>
      <c r="J12">
        <f>LEN(I12)</f>
        <v>49</v>
      </c>
      <c r="K12" t="str">
        <v>Electric and hydraulic marine winches from 0.3 to 7.4 tonnes working load and 200 to 5,500 m capacity, with Lebus grooved drums and controlled level wind.</v>
      </c>
      <c r="L12">
        <f>LEN(K12)</f>
        <v>154</v>
      </c>
      <c r="M12" t="str">
        <v>Winches</v>
      </c>
      <c r="N12" t="str">
        <v>marine winch</v>
      </c>
      <c r="O12" t="str">
        <v>survey winch; geotechnical winch; ROV winch; electric marine winch; hydraulic winch</v>
      </c>
      <c r="P12" t="str">
        <v>CollectionPage</v>
      </c>
      <c r="Q12" t="str">
        <v>Grooved drum close-up, shallow depth of field</v>
      </c>
      <c r="R12" t="str">
        <v>Winch families; the spec figures that matter; Lebus grooving; level wind; lead-off angle</v>
      </c>
      <c r="S12" t="str">
        <v>Request datasheets</v>
      </c>
      <c r="T12">
        <v>500</v>
      </c>
      <c r="U12" t="str">
        <v>Rewrite</v>
      </c>
      <c r="V12" t="str">
        <v>Not started</v>
      </c>
    </row>
    <row r="13">
      <c r="A13" t="str">
        <v>E-02</v>
      </c>
      <c r="B13" t="str">
        <v>Equipment</v>
      </c>
      <c r="C13" t="str">
        <v>Geotechnical &amp; Coring Winches</v>
      </c>
      <c r="D13" t="str">
        <v>/equipment/winches/geotechnical-coring/</v>
      </c>
      <c r="E13" t="str">
        <v>Product</v>
      </c>
      <c r="F13" t="str">
        <v>AV01</v>
      </c>
      <c r="G13" t="str">
        <v>Open</v>
      </c>
      <c r="H13" t="str">
        <v>P1</v>
      </c>
      <c r="I13" t="str">
        <v>Geotechnical &amp; Coring Winches | CPT &amp; Piston Corer | RTG</v>
      </c>
      <c r="J13">
        <f>LEN(I13)</f>
        <v>56</v>
      </c>
      <c r="K13" t="str">
        <v>Winches for piston, gravity and box coring and CPT deployment, with constant tension control to protect the umbilical when the tool is captive in the seabed.</v>
      </c>
      <c r="L13">
        <f>LEN(K13)</f>
        <v>157</v>
      </c>
      <c r="M13" t="str">
        <v>Geotechnical and coring winches</v>
      </c>
      <c r="N13" t="str">
        <v>coring winch</v>
      </c>
      <c r="O13" t="str">
        <v>CPT winch; piston corer winch; vibrocorer winch; tension control winch</v>
      </c>
      <c r="P13" t="str">
        <v>Product</v>
      </c>
      <c r="Q13" t="str">
        <v>Coring winch with wire under load, drum in frame</v>
      </c>
      <c r="R13" t="str">
        <v>Tier 1 specs in HTML; why it is built this way; applications; proof strip; gated full datasheet</v>
      </c>
      <c r="S13" t="str">
        <v>Request the full datasheet</v>
      </c>
      <c r="T13">
        <v>650</v>
      </c>
      <c r="U13" t="str">
        <v>Rewrite</v>
      </c>
      <c r="V13" t="str">
        <v>Not started</v>
      </c>
    </row>
    <row r="14">
      <c r="A14" t="str">
        <v>E-03</v>
      </c>
      <c r="B14" t="str">
        <v>Equipment</v>
      </c>
      <c r="C14" t="str">
        <v>Survey &amp; Oceanographic Winches</v>
      </c>
      <c r="D14" t="str">
        <v>/equipment/winches/survey-oceanographic/</v>
      </c>
      <c r="E14" t="str">
        <v>Product</v>
      </c>
      <c r="F14" t="str">
        <v>AV01</v>
      </c>
      <c r="G14" t="str">
        <v>Open</v>
      </c>
      <c r="H14" t="str">
        <v>P1</v>
      </c>
      <c r="I14" t="str">
        <v>Survey &amp; Oceanographic Winches | 300-4,000 m | RTG</v>
      </c>
      <c r="J14">
        <f>LEN(I14)</f>
        <v>50</v>
      </c>
      <c r="K14" t="str">
        <v>Survey and oceanographic winches in electric or hydraulic drive, with or without level wind, supplied with cable capacities from 300 to 4,000 metres.</v>
      </c>
      <c r="L14">
        <f>LEN(K14)</f>
        <v>149</v>
      </c>
      <c r="M14" t="str">
        <v>Survey and oceanographic winches</v>
      </c>
      <c r="N14" t="str">
        <v>oceanographic winch</v>
      </c>
      <c r="O14" t="str">
        <v>survey winch; CTD winch; scientific research winch</v>
      </c>
      <c r="P14" t="str">
        <v>Product</v>
      </c>
      <c r="Q14" t="str">
        <v>Survey winch on a research vessel deck</v>
      </c>
      <c r="R14" t="str">
        <v>Tier 1 specs; drive comparison; level wind options; applications; gated datasheet</v>
      </c>
      <c r="S14" t="str">
        <v>Request the full datasheet</v>
      </c>
      <c r="T14">
        <v>650</v>
      </c>
      <c r="U14" t="str">
        <v>Rewrite</v>
      </c>
      <c r="V14" t="str">
        <v>Not started</v>
      </c>
    </row>
    <row r="15">
      <c r="A15" t="str">
        <v>E-04</v>
      </c>
      <c r="B15" t="str">
        <v>Equipment</v>
      </c>
      <c r="C15" t="str">
        <v>Seismic Winches</v>
      </c>
      <c r="D15" t="str">
        <v>/equipment/winches/seismic/</v>
      </c>
      <c r="E15" t="str">
        <v>Product</v>
      </c>
      <c r="F15" t="str">
        <v>AV01</v>
      </c>
      <c r="G15" t="str">
        <v>Open</v>
      </c>
      <c r="H15" t="str">
        <v>P2</v>
      </c>
      <c r="I15" t="str">
        <v>Seismic Winches &amp; Source Handling | RTG</v>
      </c>
      <c r="J15">
        <f>LEN(I15)</f>
        <v>39</v>
      </c>
      <c r="K15" t="str">
        <v>Seismic winches and source handling equipment engineered for continuous duty, high line speeds and repeated deployment cycles in marine acquisition.</v>
      </c>
      <c r="L15">
        <f>LEN(K15)</f>
        <v>148</v>
      </c>
      <c r="M15" t="str">
        <v>Seismic winches</v>
      </c>
      <c r="N15" t="str">
        <v>seismic winch</v>
      </c>
      <c r="O15" t="str">
        <v>airgun source winch; streamer winch</v>
      </c>
      <c r="P15" t="str">
        <v>Product</v>
      </c>
      <c r="Q15" t="str">
        <v>Seismic winch bank on deck</v>
      </c>
      <c r="R15" t="str">
        <v>Tier 1 specs; duty cycle; applications; gated datasheet</v>
      </c>
      <c r="S15" t="str">
        <v>Request the full datasheet</v>
      </c>
      <c r="T15">
        <v>550</v>
      </c>
      <c r="U15" t="str">
        <v>Rewrite</v>
      </c>
      <c r="V15" t="str">
        <v>Not started</v>
      </c>
    </row>
    <row r="16">
      <c r="A16" t="str">
        <v>E-05</v>
      </c>
      <c r="B16" t="str">
        <v>Equipment</v>
      </c>
      <c r="C16" t="str">
        <v>ROV, Tow &amp; Umbilical Winches</v>
      </c>
      <c r="D16" t="str">
        <v>/equipment/winches/rov-tow-umbilical/</v>
      </c>
      <c r="E16" t="str">
        <v>Product</v>
      </c>
      <c r="F16" t="str">
        <v>AV01</v>
      </c>
      <c r="G16" t="str">
        <v>Open</v>
      </c>
      <c r="H16" t="str">
        <v>P1</v>
      </c>
      <c r="I16" t="str">
        <v>ROV, Tow &amp; Umbilical Winches | Slip Ring Ready | RTG</v>
      </c>
      <c r="J16">
        <f>LEN(I16)</f>
        <v>52</v>
      </c>
      <c r="K16" t="str">
        <v>ROV, deep tow and umbilical winches with Lebus grooved drums, controlled level wind and a slip ring interface to suit your own data and power architecture.</v>
      </c>
      <c r="L16">
        <f>LEN(K16)</f>
        <v>155</v>
      </c>
      <c r="M16" t="str">
        <v>ROV, tow and umbilical winches</v>
      </c>
      <c r="N16" t="str">
        <v>ROV winch</v>
      </c>
      <c r="O16" t="str">
        <v>umbilical winch; deep tow winch; tow winch manufacturer</v>
      </c>
      <c r="P16" t="str">
        <v>Product</v>
      </c>
      <c r="Q16" t="str">
        <v>ROV umbilical winch with level wind in motion</v>
      </c>
      <c r="R16" t="str">
        <v>Tier 1 specs; the slip ring boundary explained; cable protection; gated datasheet</v>
      </c>
      <c r="S16" t="str">
        <v>Request the full datasheet</v>
      </c>
      <c r="T16">
        <v>650</v>
      </c>
      <c r="U16" t="str">
        <v>Rewrite</v>
      </c>
      <c r="V16" t="str">
        <v>Not started</v>
      </c>
    </row>
    <row r="17">
      <c r="A17" t="str">
        <v>E-06</v>
      </c>
      <c r="B17" t="str">
        <v>Equipment</v>
      </c>
      <c r="C17" t="str">
        <v>Mooring &amp; Utility Winches</v>
      </c>
      <c r="D17" t="str">
        <v>/equipment/winches/mooring-utility/</v>
      </c>
      <c r="E17" t="str">
        <v>Product</v>
      </c>
      <c r="F17" t="str">
        <v>AV01</v>
      </c>
      <c r="G17" t="str">
        <v>Open</v>
      </c>
      <c r="H17" t="str">
        <v>P3</v>
      </c>
      <c r="I17" t="str">
        <v>Mooring &amp; Utility Winches for Offshore Vessels | RTG</v>
      </c>
      <c r="J17">
        <f>LEN(I17)</f>
        <v>52</v>
      </c>
      <c r="K17" t="str">
        <v>Mooring, capstan and general utility winches for offshore and research vessels, built to class with the same welding and test discipline as the survey range.</v>
      </c>
      <c r="L17">
        <f>LEN(K17)</f>
        <v>157</v>
      </c>
      <c r="M17" t="str">
        <v>Mooring and utility winches</v>
      </c>
      <c r="N17" t="str">
        <v>mooring winch</v>
      </c>
      <c r="O17" t="str">
        <v>capstan winch; utility deck winch</v>
      </c>
      <c r="P17" t="str">
        <v>Product</v>
      </c>
      <c r="Q17" t="str">
        <v>Mooring winch on a foredeck</v>
      </c>
      <c r="R17" t="str">
        <v>Tier 1 specs; class; gated datasheet</v>
      </c>
      <c r="S17" t="str">
        <v>Request the full datasheet</v>
      </c>
      <c r="T17">
        <v>450</v>
      </c>
      <c r="U17" t="str">
        <v>Rewrite</v>
      </c>
      <c r="V17" t="str">
        <v>Not started</v>
      </c>
    </row>
    <row r="18">
      <c r="A18" t="str">
        <v>E-07</v>
      </c>
      <c r="B18" t="str">
        <v>Equipment</v>
      </c>
      <c r="C18" t="str">
        <v>Launch &amp; Recovery Systems</v>
      </c>
      <c r="D18" t="str">
        <v>/equipment/launch-recovery-systems/</v>
      </c>
      <c r="E18" t="str">
        <v>Product</v>
      </c>
      <c r="F18" t="str">
        <v>AV01</v>
      </c>
      <c r="G18" t="str">
        <v>Open</v>
      </c>
      <c r="H18" t="str">
        <v>P1</v>
      </c>
      <c r="I18" t="str">
        <v>Launch and Recovery Systems | A-Frames &amp; LARS | RTG</v>
      </c>
      <c r="J18">
        <f>LEN(I18)</f>
        <v>51</v>
      </c>
      <c r="K18" t="str">
        <v>Stern and side A-frames, mini survey LARS, ROV and CTD launch and recovery systems, engineered around your deck arrangement and sea state requirement.</v>
      </c>
      <c r="L18">
        <f>LEN(K18)</f>
        <v>150</v>
      </c>
      <c r="M18" t="str">
        <v>Launch and recovery systems</v>
      </c>
      <c r="N18" t="str">
        <v>launch and recovery system</v>
      </c>
      <c r="O18" t="str">
        <v>LARS manufacturer; A-frame stern; survey LARS; ROV LARS</v>
      </c>
      <c r="P18" t="str">
        <v>Product</v>
      </c>
      <c r="Q18" t="str">
        <v>A-frame at full outboard swing with load on</v>
      </c>
      <c r="R18" t="str">
        <v>Configurations; deck seating and loading; sea state; motion compensation options; gated GA request</v>
      </c>
      <c r="S18" t="str">
        <v>Send us your deck arrangement</v>
      </c>
      <c r="T18">
        <v>750</v>
      </c>
      <c r="U18" t="str">
        <v>Rewrite</v>
      </c>
      <c r="V18" t="str">
        <v>Not started</v>
      </c>
    </row>
    <row r="19">
      <c r="A19" t="str">
        <v>E-08</v>
      </c>
      <c r="B19" t="str">
        <v>Equipment</v>
      </c>
      <c r="C19" t="str">
        <v>Cranes &amp; Lifting</v>
      </c>
      <c r="D19" t="str">
        <v>/equipment/cranes-lifting/</v>
      </c>
      <c r="E19" t="str">
        <v>Product</v>
      </c>
      <c r="F19" t="str">
        <v>AV01</v>
      </c>
      <c r="G19" t="str">
        <v>Open</v>
      </c>
      <c r="H19" t="str">
        <v>P2</v>
      </c>
      <c r="I19" t="str">
        <v>Marine Cranes &amp; Lifting Equipment | Class Certified | RTG</v>
      </c>
      <c r="J19">
        <f>LEN(I19)</f>
        <v>57</v>
      </c>
      <c r="K19" t="str">
        <v>Deck cranes, knuckle boom and telescopic lifting equipment for research and offshore vessels, class certified and proof tested before dispatch.</v>
      </c>
      <c r="L19">
        <f>LEN(K19)</f>
        <v>143</v>
      </c>
      <c r="M19" t="str">
        <v>Cranes and lifting equipment</v>
      </c>
      <c r="N19" t="str">
        <v>marine deck crane</v>
      </c>
      <c r="O19" t="str">
        <v>offshore crane manufacturer; knuckle boom crane marine</v>
      </c>
      <c r="P19" t="str">
        <v>Product</v>
      </c>
      <c r="Q19" t="str">
        <v>Deck crane lifting a container on a working deck</v>
      </c>
      <c r="R19" t="str">
        <v>Range; class and proof load; applications; gated datasheet</v>
      </c>
      <c r="S19" t="str">
        <v>Request the full datasheet</v>
      </c>
      <c r="T19">
        <v>500</v>
      </c>
      <c r="U19" t="str">
        <v>Rewrite</v>
      </c>
      <c r="V19" t="str">
        <v>Not started</v>
      </c>
    </row>
    <row r="20">
      <c r="A20" t="str">
        <v>E-09</v>
      </c>
      <c r="B20" t="str">
        <v>Equipment</v>
      </c>
      <c r="C20" t="str">
        <v>Handling Systems</v>
      </c>
      <c r="D20" t="str">
        <v>/equipment/handling-systems/</v>
      </c>
      <c r="E20" t="str">
        <v>Hub</v>
      </c>
      <c r="F20" t="str">
        <v>AV01</v>
      </c>
      <c r="G20" t="str">
        <v>Open</v>
      </c>
      <c r="H20" t="str">
        <v>P1</v>
      </c>
      <c r="I20" t="str">
        <v>Corer, Seismic &amp; Cable Handling Systems | RTG</v>
      </c>
      <c r="J20">
        <f>LEN(I20)</f>
        <v>45</v>
      </c>
      <c r="K20" t="str">
        <v>Complete handling systems for corers, seismic sources, diver baskets and subsea cable, supplied as integrated deck spreads rather than individual machines.</v>
      </c>
      <c r="L20">
        <f>LEN(K20)</f>
        <v>155</v>
      </c>
      <c r="M20" t="str">
        <v>Handling systems</v>
      </c>
      <c r="N20" t="str">
        <v>corer handling system</v>
      </c>
      <c r="O20" t="str">
        <v>seismic handling system; cable handling system; diver basket handling</v>
      </c>
      <c r="P20" t="str">
        <v>CollectionPage</v>
      </c>
      <c r="Q20" t="str">
        <v>Full deck spread showing an integrated system</v>
      </c>
      <c r="R20" t="str">
        <v>System types; integration; deck layout; applications</v>
      </c>
      <c r="S20" t="str">
        <v>Talk to an engineer</v>
      </c>
      <c r="T20">
        <v>500</v>
      </c>
      <c r="U20" t="str">
        <v>Rewrite</v>
      </c>
      <c r="V20" t="str">
        <v>Not started</v>
      </c>
    </row>
    <row r="21">
      <c r="A21" t="str">
        <v>E-10</v>
      </c>
      <c r="B21" t="str">
        <v>Equipment</v>
      </c>
      <c r="C21" t="str">
        <v>Cable &amp; Pipe Tensioners</v>
      </c>
      <c r="D21" t="str">
        <v>/equipment/handling-systems/cable-pipe-tensioners/</v>
      </c>
      <c r="E21" t="str">
        <v>Product</v>
      </c>
      <c r="F21" t="str">
        <v>AV01</v>
      </c>
      <c r="G21" t="str">
        <v>Open</v>
      </c>
      <c r="H21" t="str">
        <v>P1</v>
      </c>
      <c r="I21" t="str">
        <v>Cable &amp; Pipe Tensioners | 5 to 20 Te | RTG</v>
      </c>
      <c r="J21">
        <f>LEN(I21)</f>
        <v>42</v>
      </c>
      <c r="K21" t="str">
        <v>Self-contained two-track electro-hydraulic tensioners from 5 to 20 tonnes on a common skid, remote console controlled, for cable and pipe laying operations.</v>
      </c>
      <c r="L21">
        <f>LEN(K21)</f>
        <v>156</v>
      </c>
      <c r="M21" t="str">
        <v>Cable and pipe tensioners</v>
      </c>
      <c r="N21" t="str">
        <v>cable tensioner</v>
      </c>
      <c r="O21" t="str">
        <v>subsea cable tensioner; pipe laying tensioner; cable laying equipment</v>
      </c>
      <c r="P21" t="str">
        <v>Product</v>
      </c>
      <c r="Q21" t="str">
        <v>Tensioner tracks gripping cable, close and mechanical</v>
      </c>
      <c r="R21" t="str">
        <v>Tier 1 specs; squeeze versus line tension explained; fail-safe braking; availability; gated datasheet</v>
      </c>
      <c r="S21" t="str">
        <v>Check availability</v>
      </c>
      <c r="T21">
        <v>800</v>
      </c>
      <c r="U21" t="str">
        <v>Rewrite</v>
      </c>
      <c r="V21" t="str">
        <v>Not started</v>
      </c>
    </row>
    <row r="22">
      <c r="A22" t="str">
        <v>E-11</v>
      </c>
      <c r="B22" t="str">
        <v>Equipment</v>
      </c>
      <c r="C22" t="str">
        <v>Power Units</v>
      </c>
      <c r="D22" t="str">
        <v>/equipment/power-units/</v>
      </c>
      <c r="E22" t="str">
        <v>Product</v>
      </c>
      <c r="F22" t="str">
        <v>AV01</v>
      </c>
      <c r="G22" t="str">
        <v>Open</v>
      </c>
      <c r="H22" t="str">
        <v>P3</v>
      </c>
      <c r="I22" t="str">
        <v>Marine Hydraulic Power Units | HPU | RTG</v>
      </c>
      <c r="J22">
        <f>LEN(I22)</f>
        <v>40</v>
      </c>
      <c r="K22" t="str">
        <v>Hydraulic power units for deck machinery, built and flushed to a defined cleanliness class and function tested with the equipment they will drive.</v>
      </c>
      <c r="L22">
        <f>LEN(K22)</f>
        <v>146</v>
      </c>
      <c r="M22" t="str">
        <v>Hydraulic power units</v>
      </c>
      <c r="N22" t="str">
        <v>marine hydraulic power unit</v>
      </c>
      <c r="O22" t="str">
        <v>HPU offshore; deck machinery power pack</v>
      </c>
      <c r="P22" t="str">
        <v>Product</v>
      </c>
      <c r="Q22" t="str">
        <v>HPU skid, pipework and gauges in focus</v>
      </c>
      <c r="R22" t="str">
        <v>Tier 1 specs; cleanliness class; testing; gated datasheet</v>
      </c>
      <c r="S22" t="str">
        <v>Request the full datasheet</v>
      </c>
      <c r="T22">
        <v>450</v>
      </c>
      <c r="U22" t="str">
        <v>Rewrite</v>
      </c>
      <c r="V22" t="str">
        <v>Not started</v>
      </c>
    </row>
    <row r="23">
      <c r="A23" t="str">
        <v>E-12</v>
      </c>
      <c r="B23" t="str">
        <v>Equipment</v>
      </c>
      <c r="C23" t="str">
        <v>Portable &amp; Containerised Systems</v>
      </c>
      <c r="D23" t="str">
        <v>/equipment/portable-containerised/</v>
      </c>
      <c r="E23" t="str">
        <v>Product</v>
      </c>
      <c r="F23" t="str">
        <v>AV01</v>
      </c>
      <c r="G23" t="str">
        <v>Open</v>
      </c>
      <c r="H23" t="str">
        <v>P1</v>
      </c>
      <c r="I23" t="str">
        <v>Containerised &amp; Portable Survey Spreads | RTG</v>
      </c>
      <c r="J23">
        <f>LEN(I23)</f>
        <v>45</v>
      </c>
      <c r="K23" t="str">
        <v>Self-contained, road transportable handling spreads with certified lifting lugs, fork pockets and twist-lock footprints, for vessels you do not own.</v>
      </c>
      <c r="L23">
        <f>LEN(K23)</f>
        <v>148</v>
      </c>
      <c r="M23" t="str">
        <v>Built to move between hulls</v>
      </c>
      <c r="N23" t="str">
        <v>containerised winch system</v>
      </c>
      <c r="O23" t="str">
        <v>portable survey spread; modular deck equipment; skid mounted winch</v>
      </c>
      <c r="P23" t="str">
        <v>Product</v>
      </c>
      <c r="Q23" t="str">
        <v>Containerised spread being craned onto a deck</v>
      </c>
      <c r="R23" t="str">
        <v>The charter-hull problem; mobilisation features; deck seating and loading; case study link</v>
      </c>
      <c r="S23" t="str">
        <v>Talk about your next mobilisation</v>
      </c>
      <c r="T23">
        <v>700</v>
      </c>
      <c r="U23" t="str">
        <v>New</v>
      </c>
      <c r="V23" t="str">
        <v>Not started</v>
      </c>
    </row>
    <row r="24">
      <c r="A24" t="str">
        <v>L-00</v>
      </c>
      <c r="B24" t="str">
        <v>Lifecycle</v>
      </c>
      <c r="C24" t="str">
        <v>Lifecycle hub</v>
      </c>
      <c r="D24" t="str">
        <v>/lifecycle/</v>
      </c>
      <c r="E24" t="str">
        <v>Hub</v>
      </c>
      <c r="F24" t="str">
        <v>AV01</v>
      </c>
      <c r="G24" t="str">
        <v>Open</v>
      </c>
      <c r="H24" t="str">
        <v>P1</v>
      </c>
      <c r="I24" t="str">
        <v>Refurbishment, Upgrade &amp; Support | Lifecycle | RTG</v>
      </c>
      <c r="J24">
        <f>LEN(I24)</f>
        <v>50</v>
      </c>
      <c r="K24" t="str">
        <v>Your vessel is worth more working than replaced. Condition assessment, refurbishment, capability upgrade, re-certification and spares for deck machinery.</v>
      </c>
      <c r="L24">
        <f>LEN(K24)</f>
        <v>153</v>
      </c>
      <c r="M24" t="str">
        <v>Keeping equipment working</v>
      </c>
      <c r="N24" t="str">
        <v>winch refurbishment</v>
      </c>
      <c r="O24" t="str">
        <v>deck machinery overhaul; LARS refurbishment; marine equipment life extension</v>
      </c>
      <c r="P24" t="str">
        <v>Service</v>
      </c>
      <c r="Q24" t="str">
        <v>Stripped winch mid-refurbishment, components laid out</v>
      </c>
      <c r="R24" t="str">
        <v>Why now (fleet age); services; lead times; decision guide link; assessment CTA</v>
      </c>
      <c r="S24" t="str">
        <v>Book a condition assessment</v>
      </c>
      <c r="T24">
        <v>500</v>
      </c>
      <c r="U24" t="str">
        <v>New</v>
      </c>
      <c r="V24" t="str">
        <v>Not started</v>
      </c>
    </row>
    <row r="25">
      <c r="A25" t="str">
        <v>L-01</v>
      </c>
      <c r="B25" t="str">
        <v>Lifecycle</v>
      </c>
      <c r="C25" t="str">
        <v>Refurbishment &amp; Upgrade</v>
      </c>
      <c r="D25" t="str">
        <v>/lifecycle/refurbishment-upgrade/</v>
      </c>
      <c r="E25" t="str">
        <v>Service</v>
      </c>
      <c r="F25" t="str">
        <v>AV01</v>
      </c>
      <c r="G25" t="str">
        <v>Open</v>
      </c>
      <c r="H25" t="str">
        <v>P1</v>
      </c>
      <c r="I25" t="str">
        <v>Winch &amp; LARS Refurbishment and Upgrade | RTG</v>
      </c>
      <c r="J25">
        <f>LEN(I25)</f>
        <v>44</v>
      </c>
      <c r="K25" t="str">
        <v>Full refurbishment of winches, LARS and deck machinery: condition assessment, rework, component reuse, capability upgrade, testing and reissued documentation.</v>
      </c>
      <c r="L25">
        <f>LEN(K25)</f>
        <v>158</v>
      </c>
      <c r="M25" t="str">
        <v>Refurbishment and upgrade</v>
      </c>
      <c r="N25" t="str">
        <v>winch refurbishment</v>
      </c>
      <c r="O25" t="str">
        <v>winch overhaul; deck crane refurbishment; LARS upgrade; marine winch rebuild</v>
      </c>
      <c r="P25" t="str">
        <v>Service</v>
      </c>
      <c r="Q25" t="str">
        <v>Before and after pairing of the same machine</v>
      </c>
      <c r="R25" t="str">
        <v>What we assess; what we rework; what we reuse; upgrades; testing; documentation reissued; lead times</v>
      </c>
      <c r="S25" t="str">
        <v>Book a condition assessment</v>
      </c>
      <c r="T25">
        <v>900</v>
      </c>
      <c r="U25" t="str">
        <v>New</v>
      </c>
      <c r="V25" t="str">
        <v>Not started</v>
      </c>
    </row>
    <row r="26">
      <c r="A26" t="str">
        <v>L-02</v>
      </c>
      <c r="B26" t="str">
        <v>Lifecycle</v>
      </c>
      <c r="C26" t="str">
        <v>Refurbish, Upgrade or Replace?</v>
      </c>
      <c r="D26" t="str">
        <v>/lifecycle/refurbish-upgrade-or-replace/</v>
      </c>
      <c r="E26" t="str">
        <v>Guide</v>
      </c>
      <c r="F26" t="str">
        <v>AV01</v>
      </c>
      <c r="G26" t="str">
        <v>Open</v>
      </c>
      <c r="H26" t="str">
        <v>P1</v>
      </c>
      <c r="I26" t="str">
        <v>Refurbish, Upgrade or Replace? A Decision Guide | RTG</v>
      </c>
      <c r="J26">
        <f>LEN(I26)</f>
        <v>53</v>
      </c>
      <c r="K26" t="str">
        <v>Six questions that decide whether deck machinery is worth rebuilding: drum and shaft condition, brakes, hydraulics, capability target, spares and class status.</v>
      </c>
      <c r="L26">
        <f>LEN(K26)</f>
        <v>159</v>
      </c>
      <c r="M26" t="str">
        <v>Refurbish, upgrade or replace?</v>
      </c>
      <c r="N26" t="str">
        <v>refurbish or replace winch</v>
      </c>
      <c r="O26" t="str">
        <v>winch condition assessment; deck machinery end of life</v>
      </c>
      <c r="P26" t="str">
        <v>Article</v>
      </c>
      <c r="Q26" t="str">
        <v>Engineer inspecting a drum with a gauge</v>
      </c>
      <c r="R26" t="str">
        <v>Six questions; honest answers including when not to refurbish; what an assessment covers</v>
      </c>
      <c r="S26" t="str">
        <v>Book a condition assessment</v>
      </c>
      <c r="T26">
        <v>800</v>
      </c>
      <c r="U26" t="str">
        <v>New</v>
      </c>
      <c r="V26" t="str">
        <v>Not started</v>
      </c>
    </row>
    <row r="27">
      <c r="A27" t="str">
        <v>L-03</v>
      </c>
      <c r="B27" t="str">
        <v>Lifecycle</v>
      </c>
      <c r="C27" t="str">
        <v>Re-certification &amp; Class Renewal</v>
      </c>
      <c r="D27" t="str">
        <v>/lifecycle/recertification-class-renewal/</v>
      </c>
      <c r="E27" t="str">
        <v>Service</v>
      </c>
      <c r="F27" t="str">
        <v>AV01</v>
      </c>
      <c r="G27" t="str">
        <v>Open</v>
      </c>
      <c r="H27" t="str">
        <v>P2</v>
      </c>
      <c r="I27" t="str">
        <v>Deck Equipment Re-certification &amp; Class Renewal | RTG</v>
      </c>
      <c r="J27">
        <f>LEN(I27)</f>
        <v>53</v>
      </c>
      <c r="K27" t="str">
        <v>Load testing, inspection and documentation for class renewal on deck machinery, including equipment originally supplied by other manufacturers.</v>
      </c>
      <c r="L27">
        <f>LEN(K27)</f>
        <v>143</v>
      </c>
      <c r="M27" t="str">
        <v>Re-certification and class renewal</v>
      </c>
      <c r="N27" t="str">
        <v>deck equipment recertification</v>
      </c>
      <c r="O27" t="str">
        <v>winch load test certificate; class renewal deck machinery; proof load testing</v>
      </c>
      <c r="P27" t="str">
        <v>Service</v>
      </c>
      <c r="Q27" t="str">
        <v>Load test in progress with certified weights</v>
      </c>
      <c r="R27" t="str">
        <v>What class requires; the test suite; documentation issued; equipment we did not build</v>
      </c>
      <c r="S27" t="str">
        <v>Arrange re-certification</v>
      </c>
      <c r="T27">
        <v>600</v>
      </c>
      <c r="U27" t="str">
        <v>New</v>
      </c>
      <c r="V27" t="str">
        <v>Not started</v>
      </c>
    </row>
    <row r="28">
      <c r="A28" t="str">
        <v>L-04</v>
      </c>
      <c r="B28" t="str">
        <v>Lifecycle</v>
      </c>
      <c r="C28" t="str">
        <v>Spares &amp; Support</v>
      </c>
      <c r="D28" t="str">
        <v>/lifecycle/spares-support/</v>
      </c>
      <c r="E28" t="str">
        <v>Service</v>
      </c>
      <c r="F28" t="str">
        <v>AV01</v>
      </c>
      <c r="G28" t="str">
        <v>Open</v>
      </c>
      <c r="H28" t="str">
        <v>P2</v>
      </c>
      <c r="I28" t="str">
        <v>Marine Deck Machinery Spares &amp; Support | RTG</v>
      </c>
      <c r="J28">
        <f>LEN(I28)</f>
        <v>44</v>
      </c>
      <c r="K28" t="str">
        <v>Spares, technical support and field service for RTG equipment and for deck machinery supplied by others, through UK and EU offices and agents worldwide.</v>
      </c>
      <c r="L28">
        <f>LEN(K28)</f>
        <v>152</v>
      </c>
      <c r="M28" t="str">
        <v>Spares and support</v>
      </c>
      <c r="N28" t="str">
        <v>marine winch spares</v>
      </c>
      <c r="O28" t="str">
        <v>deck machinery spare parts; offshore equipment field service</v>
      </c>
      <c r="P28" t="str">
        <v>Service</v>
      </c>
      <c r="Q28" t="str">
        <v>Spares shelf or a service engineer on deck</v>
      </c>
      <c r="R28" t="str">
        <v>What we hold; obsolete equipment; response times; global reach; agents</v>
      </c>
      <c r="S28" t="str">
        <v>Request a spares quotation</v>
      </c>
      <c r="T28">
        <v>500</v>
      </c>
      <c r="U28" t="str">
        <v>New</v>
      </c>
      <c r="V28" t="str">
        <v>Not started</v>
      </c>
    </row>
    <row r="29">
      <c r="A29" t="str">
        <v>L-05</v>
      </c>
      <c r="B29" t="str">
        <v>Lifecycle</v>
      </c>
      <c r="C29" t="str">
        <v>Book a Condition Assessment</v>
      </c>
      <c r="D29" t="str">
        <v>/lifecycle/condition-assessment/</v>
      </c>
      <c r="E29" t="str">
        <v>Form</v>
      </c>
      <c r="F29" t="str">
        <v>AV01</v>
      </c>
      <c r="G29" t="str">
        <v>Gated</v>
      </c>
      <c r="H29" t="str">
        <v>P1</v>
      </c>
      <c r="I29" t="str">
        <v>Book a Deck Machinery Condition Assessment | RTG</v>
      </c>
      <c r="J29">
        <f>LEN(I29)</f>
        <v>48</v>
      </c>
      <c r="K29" t="str">
        <v>Tell us the equipment, the vessel and the maintenance window. We will tell you what is worth rebuilding, what is not, and what the work would involve.</v>
      </c>
      <c r="L29">
        <f>LEN(K29)</f>
        <v>150</v>
      </c>
      <c r="M29" t="str">
        <v>Book a condition assessment</v>
      </c>
      <c r="N29" t="str">
        <v>winch condition assessment</v>
      </c>
      <c r="O29" t="str">
        <v>deck machinery survey; equipment condition report</v>
      </c>
      <c r="P29" t="str">
        <v>Service</v>
      </c>
      <c r="Q29" t="str">
        <v>Clean form page, single supporting image</v>
      </c>
      <c r="R29" t="str">
        <v>What the assessment covers; what you get; form: equipment, vessel, location, window</v>
      </c>
      <c r="S29" t="str">
        <v>Submit</v>
      </c>
      <c r="T29">
        <v>250</v>
      </c>
      <c r="U29" t="str">
        <v>New</v>
      </c>
      <c r="V29" t="str">
        <v>Not started</v>
      </c>
    </row>
    <row r="30">
      <c r="A30" t="str">
        <v>C-00</v>
      </c>
      <c r="B30" t="str">
        <v>Contract Manufacturing</v>
      </c>
      <c r="C30" t="str">
        <v>Contract Manufacturing hub</v>
      </c>
      <c r="D30" t="str">
        <v>/contract-manufacturing/</v>
      </c>
      <c r="E30" t="str">
        <v>Ladder</v>
      </c>
      <c r="F30" t="str">
        <v>AV02</v>
      </c>
      <c r="G30" t="str">
        <v>Open</v>
      </c>
      <c r="H30" t="str">
        <v>P1</v>
      </c>
      <c r="I30" t="str">
        <v>Contract Manufacturing to Your Drawings | RTG</v>
      </c>
      <c r="J30">
        <f>LEN(I30)</f>
        <v>45</v>
      </c>
      <c r="K30" t="str">
        <v>Your design, your IP, our factory. From welded structures to complete machines, assembled, piped, wired, programmed, load tested under class and commissioned.</v>
      </c>
      <c r="L30">
        <f>LEN(K30)</f>
        <v>158</v>
      </c>
      <c r="M30" t="str">
        <v>How much of your machine would you like us to take?</v>
      </c>
      <c r="N30" t="str">
        <v>contract manufacturing marine equipment</v>
      </c>
      <c r="O30" t="str">
        <v>outsourced deck machinery manufacture; build to print marine; subcontract winch manufacture</v>
      </c>
      <c r="P30" t="str">
        <v>Service</v>
      </c>
      <c r="Q30" t="str">
        <v>Machine part-built on the shop floor, unbranded</v>
      </c>
      <c r="R30" t="str">
        <v>The four tiers; what you no longer do; what we need from you; how it is proven; references</v>
      </c>
      <c r="S30" t="str">
        <v>Send us your documentation</v>
      </c>
      <c r="T30">
        <v>1100</v>
      </c>
      <c r="U30" t="str">
        <v>New</v>
      </c>
      <c r="V30" t="str">
        <v>Not started</v>
      </c>
    </row>
    <row r="31">
      <c r="A31" t="str">
        <v>C-01</v>
      </c>
      <c r="B31" t="str">
        <v>Contract Manufacturing</v>
      </c>
      <c r="C31" t="str">
        <v>Tier 1 Structural Fabrication</v>
      </c>
      <c r="D31" t="str">
        <v>/contract-manufacturing/structural-fabrication/</v>
      </c>
      <c r="E31" t="str">
        <v>Tier</v>
      </c>
      <c r="F31" t="str">
        <v>AV02</v>
      </c>
      <c r="G31" t="str">
        <v>Open</v>
      </c>
      <c r="H31" t="str">
        <v>P1</v>
      </c>
      <c r="I31" t="str">
        <v>Certified Structural Fabrication &amp; Welding | RTG</v>
      </c>
      <c r="J31">
        <f>LEN(I31)</f>
        <v>48</v>
      </c>
      <c r="K31" t="str">
        <v>Welded structures to your drawings with EN ISO 3834 discipline, coded welders, NDT to ISO 9712 level 2 and 100 percent traceability on structural welds.</v>
      </c>
      <c r="L31">
        <f>LEN(K31)</f>
        <v>152</v>
      </c>
      <c r="M31" t="str">
        <v>Tier 1: structural fabrication</v>
      </c>
      <c r="N31" t="str">
        <v>certified structural fabrication</v>
      </c>
      <c r="O31" t="str">
        <v>marine steel fabrication subcontract; coded welding services; EN ISO 3834 fabricator</v>
      </c>
      <c r="P31" t="str">
        <v>Service</v>
      </c>
      <c r="Q31" t="str">
        <v>Welder at work, arc light, protective equipment correct</v>
      </c>
      <c r="R31" t="str">
        <v>Scope; welding procedures; NDT; traceability; machining; class survey; what we need from you</v>
      </c>
      <c r="S31" t="str">
        <v>Send drawings for a budget quotation</v>
      </c>
      <c r="T31">
        <v>800</v>
      </c>
      <c r="U31" t="str">
        <v>Rewrite</v>
      </c>
      <c r="V31" t="str">
        <v>Not started</v>
      </c>
    </row>
    <row r="32">
      <c r="A32" t="str">
        <v>C-02</v>
      </c>
      <c r="B32" t="str">
        <v>Contract Manufacturing</v>
      </c>
      <c r="C32" t="str">
        <v>Tier 2 Mechanical Assembly</v>
      </c>
      <c r="D32" t="str">
        <v>/contract-manufacturing/mechanical-assembly/</v>
      </c>
      <c r="E32" t="str">
        <v>Tier</v>
      </c>
      <c r="F32" t="str">
        <v>AV02</v>
      </c>
      <c r="G32" t="str">
        <v>Open</v>
      </c>
      <c r="H32" t="str">
        <v>P1</v>
      </c>
      <c r="I32" t="str">
        <v>Mechanical Assembly to Client Drawings | RTG</v>
      </c>
      <c r="J32">
        <f>LEN(I32)</f>
        <v>44</v>
      </c>
      <c r="K32" t="str">
        <v>Drums, shafts, bearings, gearboxes, brakes, sheaves and level wind assembled to your specification, torqued, aligned and rotation checked before dispatch.</v>
      </c>
      <c r="L32">
        <f>LEN(K32)</f>
        <v>154</v>
      </c>
      <c r="M32" t="str">
        <v>Tier 2: mechanical assembly</v>
      </c>
      <c r="N32" t="str">
        <v>mechanical assembly subcontract</v>
      </c>
      <c r="O32" t="str">
        <v>winch assembly services; gearbox and drum assembly; contract mechanical build</v>
      </c>
      <c r="P32" t="str">
        <v>Service</v>
      </c>
      <c r="Q32" t="str">
        <v>Drum and shaft being lowered into bearings</v>
      </c>
      <c r="R32" t="str">
        <v>Scope; what you no longer do; tolerances and checks; what we need from you; reference</v>
      </c>
      <c r="S32" t="str">
        <v>Discuss a trial assembly</v>
      </c>
      <c r="T32">
        <v>700</v>
      </c>
      <c r="U32" t="str">
        <v>New</v>
      </c>
      <c r="V32" t="str">
        <v>Not started</v>
      </c>
    </row>
    <row r="33">
      <c r="A33" t="str">
        <v>C-03</v>
      </c>
      <c r="B33" t="str">
        <v>Contract Manufacturing</v>
      </c>
      <c r="C33" t="str">
        <v>Tier 3 Hydraulic &amp; Electrical Build</v>
      </c>
      <c r="D33" t="str">
        <v>/contract-manufacturing/hydraulic-electrical-build/</v>
      </c>
      <c r="E33" t="str">
        <v>Tier</v>
      </c>
      <c r="F33" t="str">
        <v>AV02</v>
      </c>
      <c r="G33" t="str">
        <v>Open</v>
      </c>
      <c r="H33" t="str">
        <v>P1</v>
      </c>
      <c r="I33" t="str">
        <v>Hydraulic &amp; Electrical Build to Your Design | RTG</v>
      </c>
      <c r="J33">
        <f>LEN(I33)</f>
        <v>49</v>
      </c>
      <c r="K33" t="str">
        <v>Power units, pipework flushed to a defined cleanliness class, valve blocks, control panels, cabling, terminations and instrumentation, built to your schematics.</v>
      </c>
      <c r="L33">
        <f>LEN(K33)</f>
        <v>160</v>
      </c>
      <c r="M33" t="str">
        <v>Tier 3: hydraulic and electrical build</v>
      </c>
      <c r="N33" t="str">
        <v>hydraulic and electrical contract build</v>
      </c>
      <c r="O33" t="str">
        <v>hydraulic pipework fabrication; control panel build marine; flushing to cleanliness class</v>
      </c>
      <c r="P33" t="str">
        <v>Service</v>
      </c>
      <c r="Q33" t="str">
        <v>Hydraulic pipework and manifolds, clean and ordered</v>
      </c>
      <c r="R33" t="str">
        <v>Scope; cleanliness class; panel build; testing at this tier; what we need from you</v>
      </c>
      <c r="S33" t="str">
        <v>Discuss a package</v>
      </c>
      <c r="T33">
        <v>800</v>
      </c>
      <c r="U33" t="str">
        <v>New</v>
      </c>
      <c r="V33" t="str">
        <v>Not started</v>
      </c>
    </row>
    <row r="34">
      <c r="A34" t="str">
        <v>C-04</v>
      </c>
      <c r="B34" t="str">
        <v>Contract Manufacturing</v>
      </c>
      <c r="C34" t="str">
        <v>Tier 4 Automation, Test &amp; Commissioning</v>
      </c>
      <c r="D34" t="str">
        <v>/contract-manufacturing/automation-test-commissioning/</v>
      </c>
      <c r="E34" t="str">
        <v>Tier</v>
      </c>
      <c r="F34" t="str">
        <v>AV02</v>
      </c>
      <c r="G34" t="str">
        <v>Open</v>
      </c>
      <c r="H34" t="str">
        <v>P1</v>
      </c>
      <c r="I34" t="str">
        <v>Automation, Load Testing &amp; Commissioning | RTG</v>
      </c>
      <c r="J34">
        <f>LEN(I34)</f>
        <v>46</v>
      </c>
      <c r="K34" t="str">
        <v>PLC and HMI loading, interlock proving, load testing to 150 tonnes under class witness, full certification dossier and commissioning on the vessel.</v>
      </c>
      <c r="L34">
        <f>LEN(K34)</f>
        <v>147</v>
      </c>
      <c r="M34" t="str">
        <v>Tier 4: automation, test and commissioning</v>
      </c>
      <c r="N34" t="str">
        <v>factory acceptance testing marine equipment</v>
      </c>
      <c r="O34" t="str">
        <v>PLC commissioning offshore equipment; load testing 150 tonnes; class witnessed testing</v>
      </c>
      <c r="P34" t="str">
        <v>Service</v>
      </c>
      <c r="Q34" t="str">
        <v>Machine on the test stand, instrumentation and weights visible</v>
      </c>
      <c r="R34" t="str">
        <v>Scope; the test suite; class witness; the dossier; site commissioning; resourcing note</v>
      </c>
      <c r="S34" t="str">
        <v>Discuss a full-scope build</v>
      </c>
      <c r="T34">
        <v>900</v>
      </c>
      <c r="U34" t="str">
        <v>New</v>
      </c>
      <c r="V34" t="str">
        <v>Not started</v>
      </c>
    </row>
    <row r="35">
      <c r="A35" t="str">
        <v>C-05</v>
      </c>
      <c r="B35" t="str">
        <v>Contract Manufacturing</v>
      </c>
      <c r="C35" t="str">
        <v>Bespoke Design</v>
      </c>
      <c r="D35" t="str">
        <v>/contract-manufacturing/bespoke-design/</v>
      </c>
      <c r="E35" t="str">
        <v>Service</v>
      </c>
      <c r="F35" t="str">
        <v>AV02</v>
      </c>
      <c r="G35" t="str">
        <v>Open</v>
      </c>
      <c r="H35" t="str">
        <v>P2</v>
      </c>
      <c r="I35" t="str">
        <v>Bespoke Deck Equipment Design &amp; Build | RTG</v>
      </c>
      <c r="J35">
        <f>LEN(I35)</f>
        <v>43</v>
      </c>
      <c r="K35" t="str">
        <v>Where you do not hold a design, RTG engineers one: concept, general arrangement, calculations, class appraisal, manufacture and test, to your requirement.</v>
      </c>
      <c r="L35">
        <f>LEN(K35)</f>
        <v>154</v>
      </c>
      <c r="M35" t="str">
        <v>Bespoke design</v>
      </c>
      <c r="N35" t="str">
        <v>bespoke deck equipment design</v>
      </c>
      <c r="O35" t="str">
        <v>custom marine equipment design; special purpose winch design</v>
      </c>
      <c r="P35" t="str">
        <v>Service</v>
      </c>
      <c r="Q35" t="str">
        <v>Engineer at a screen with a 3D model, workshop behind</v>
      </c>
      <c r="R35" t="str">
        <v>When bespoke is right; the process; class appraisal; timeline; who owns the design</v>
      </c>
      <c r="S35" t="str">
        <v>Start a design conversation</v>
      </c>
      <c r="T35">
        <v>600</v>
      </c>
      <c r="U35" t="str">
        <v>Rewrite</v>
      </c>
      <c r="V35" t="str">
        <v>Not started</v>
      </c>
    </row>
    <row r="36">
      <c r="A36" t="str">
        <v>C-06</v>
      </c>
      <c r="B36" t="str">
        <v>Contract Manufacturing</v>
      </c>
      <c r="C36" t="str">
        <v>Your IP, Protected</v>
      </c>
      <c r="D36" t="str">
        <v>/contract-manufacturing/your-ip-protected/</v>
      </c>
      <c r="E36" t="str">
        <v>Policy</v>
      </c>
      <c r="F36" t="str">
        <v>AV02</v>
      </c>
      <c r="G36" t="str">
        <v>Open</v>
      </c>
      <c r="H36" t="str">
        <v>P1</v>
      </c>
      <c r="I36" t="str">
        <v>How We Protect Your Design and IP | RTG</v>
      </c>
      <c r="J36">
        <f>LEN(I36)</f>
        <v>39</v>
      </c>
      <c r="K36" t="str">
        <v>NDA before drawings, segregated project files, no derivative products from client designs, and a clear contractual separation from our own equipment range.</v>
      </c>
      <c r="L36">
        <f>LEN(K36)</f>
        <v>155</v>
      </c>
      <c r="M36" t="str">
        <v>Your design stays yours</v>
      </c>
      <c r="N36" t="str">
        <v>protecting client IP contract manufacturing</v>
      </c>
      <c r="O36" t="str">
        <v>NDA fabrication; design confidentiality manufacturing</v>
      </c>
      <c r="P36" t="str">
        <v>Article</v>
      </c>
      <c r="Q36" t="str">
        <v>Abstract: a drawing folder, closed</v>
      </c>
      <c r="R36" t="str">
        <v>The commitment; how files are segregated; the competitor question answered; NDA download</v>
      </c>
      <c r="S36" t="str">
        <v>Request our standard NDA</v>
      </c>
      <c r="T36">
        <v>500</v>
      </c>
      <c r="U36" t="str">
        <v>New</v>
      </c>
      <c r="V36" t="str">
        <v>Not started</v>
      </c>
    </row>
    <row r="37">
      <c r="A37" t="str">
        <v>C-07</v>
      </c>
      <c r="B37" t="str">
        <v>Contract Manufacturing</v>
      </c>
      <c r="C37" t="str">
        <v>EU-Origin Fabrication</v>
      </c>
      <c r="D37" t="str">
        <v>/contract-manufacturing/eu-origin-fabrication/</v>
      </c>
      <c r="E37" t="str">
        <v>Article</v>
      </c>
      <c r="F37" t="str">
        <v>AV02</v>
      </c>
      <c r="G37" t="str">
        <v>Open</v>
      </c>
      <c r="H37" t="str">
        <v>P2</v>
      </c>
      <c r="I37" t="str">
        <v>EU-Origin Steel Fabrication &amp; Melt-and-Pour | RTG</v>
      </c>
      <c r="J37">
        <f>LEN(I37)</f>
        <v>49</v>
      </c>
      <c r="K37" t="str">
        <v>Fabrication inside the EU, with melt-and-pour origin documentation supplied alongside our standard weld traceability pack for every structure we build.</v>
      </c>
      <c r="L37">
        <f>LEN(K37)</f>
        <v>151</v>
      </c>
      <c r="M37" t="str">
        <v>Fabricated inside the EU, documented</v>
      </c>
      <c r="N37" t="str">
        <v>EU origin steel fabrication</v>
      </c>
      <c r="O37" t="str">
        <v>melt and pour documentation; EU steel safeguard fabrication; EU origin structures</v>
      </c>
      <c r="P37" t="str">
        <v>Article</v>
      </c>
      <c r="Q37" t="str">
        <v>Steel plate stack with heat numbers visible</v>
      </c>
      <c r="R37" t="str">
        <v>What changed in July 2026; what we supply; what we cannot advise on; disclaimer</v>
      </c>
      <c r="S37" t="str">
        <v>Ask about origin documentation</v>
      </c>
      <c r="T37">
        <v>550</v>
      </c>
      <c r="U37" t="str">
        <v>New</v>
      </c>
      <c r="V37" t="str">
        <v>Not started</v>
      </c>
    </row>
    <row r="38">
      <c r="A38" t="str">
        <v>C-08</v>
      </c>
      <c r="B38" t="str">
        <v>Contract Manufacturing</v>
      </c>
      <c r="C38" t="str">
        <v>Capacity &amp; Lead Times</v>
      </c>
      <c r="D38" t="str">
        <v>/contract-manufacturing/capacity-lead-times/</v>
      </c>
      <c r="E38" t="str">
        <v>Form</v>
      </c>
      <c r="F38" t="str">
        <v>AV02</v>
      </c>
      <c r="G38" t="str">
        <v>Gated</v>
      </c>
      <c r="H38" t="str">
        <v>P1</v>
      </c>
      <c r="I38" t="str">
        <v>Current Manufacturing Capacity &amp; Lead Times | RTG</v>
      </c>
      <c r="J38">
        <f>LEN(I38)</f>
        <v>49</v>
      </c>
      <c r="K38" t="str">
        <v>A quarterly statement of available fabrication, assembly, hydraulic build and test capacity by tier, with indicative lead times for each. Updated every quarter.</v>
      </c>
      <c r="L38">
        <f>LEN(K38)</f>
        <v>160</v>
      </c>
      <c r="M38" t="str">
        <v>Capacity and lead times</v>
      </c>
      <c r="N38" t="str">
        <v>marine fabrication capacity</v>
      </c>
      <c r="O38" t="str">
        <v>manufacturing slots offshore equipment; fabrication lead times</v>
      </c>
      <c r="P38" t="str">
        <v>Service</v>
      </c>
      <c r="Q38" t="str">
        <v>Shop floor wide shot showing available bay space</v>
      </c>
      <c r="R38" t="str">
        <v>What is available by tier; how to book; form</v>
      </c>
      <c r="S38" t="str">
        <v>Request current capacity</v>
      </c>
      <c r="T38">
        <v>300</v>
      </c>
      <c r="U38" t="str">
        <v>New</v>
      </c>
      <c r="V38" t="str">
        <v>Not started</v>
      </c>
    </row>
    <row r="39">
      <c r="A39" t="str">
        <v>C-09</v>
      </c>
      <c r="B39" t="str">
        <v>Contract Manufacturing</v>
      </c>
      <c r="C39" t="str">
        <v>Send Us Documentation</v>
      </c>
      <c r="D39" t="str">
        <v>/contract-manufacturing/send-documentation/</v>
      </c>
      <c r="E39" t="str">
        <v>Form</v>
      </c>
      <c r="F39" t="str">
        <v>AV02</v>
      </c>
      <c r="G39" t="str">
        <v>Gated</v>
      </c>
      <c r="H39" t="str">
        <v>P1</v>
      </c>
      <c r="I39" t="str">
        <v>Send Us Your Drawings, Under NDA | RTG</v>
      </c>
      <c r="J39">
        <f>LEN(I39)</f>
        <v>38</v>
      </c>
      <c r="K39" t="str">
        <v>Upload your documentation under NDA and we will come back with scope, tier options and an indicative price. Tell us which tier you are short of capacity in.</v>
      </c>
      <c r="L39">
        <f>LEN(K39)</f>
        <v>156</v>
      </c>
      <c r="M39" t="str">
        <v>Send us your documentation</v>
      </c>
      <c r="N39" t="str">
        <v>send drawings for quotation</v>
      </c>
      <c r="O39" t="str">
        <v>upload drawings fabrication quote; NDA drawing submission</v>
      </c>
      <c r="P39" t="str">
        <v>Service</v>
      </c>
      <c r="Q39" t="str">
        <v>Clean form page</v>
      </c>
      <c r="R39" t="str">
        <v>NDA first; what to send by tier; what you get back and when; upload form</v>
      </c>
      <c r="S39" t="str">
        <v>Submit under NDA</v>
      </c>
      <c r="T39">
        <v>250</v>
      </c>
      <c r="U39" t="str">
        <v>New</v>
      </c>
      <c r="V39" t="str">
        <v>Not started</v>
      </c>
    </row>
    <row r="40">
      <c r="A40" t="str">
        <v>Y-00</v>
      </c>
      <c r="B40" t="str">
        <v>Yards</v>
      </c>
      <c r="C40" t="str">
        <v>Yards &amp; Integrators hub</v>
      </c>
      <c r="D40" t="str">
        <v>/yards-integrators/</v>
      </c>
      <c r="E40" t="str">
        <v>Hub</v>
      </c>
      <c r="F40" t="str">
        <v>AV03</v>
      </c>
      <c r="G40" t="str">
        <v>Open</v>
      </c>
      <c r="H40" t="str">
        <v>P1</v>
      </c>
      <c r="I40" t="str">
        <v>Subcontract Fabrication &amp; Deck Packages for Yards | RTG</v>
      </c>
      <c r="J40">
        <f>LEN(I40)</f>
        <v>55</v>
      </c>
      <c r="K40" t="str">
        <v>European standards, EU capacity, class certified. Overflow structural fabrication and deck equipment packages that protect your delivery date.</v>
      </c>
      <c r="L40">
        <f>LEN(K40)</f>
        <v>142</v>
      </c>
      <c r="M40" t="str">
        <v>Capacity that protects your delivery date</v>
      </c>
      <c r="N40" t="str">
        <v>shipyard subcontract fabrication</v>
      </c>
      <c r="O40" t="str">
        <v>marine steel subcontractor; deck equipment package supplier; approved fabricator shipyard</v>
      </c>
      <c r="P40" t="str">
        <v>Service</v>
      </c>
      <c r="Q40" t="str">
        <v>Large fabricated structure in the yard bay, scale evident</v>
      </c>
      <c r="R40" t="str">
        <v>Two modes; capacity; class; approvals; delivery record; vendor pack CTA</v>
      </c>
      <c r="S40" t="str">
        <v>Download the vendor qualification pack</v>
      </c>
      <c r="T40">
        <v>650</v>
      </c>
      <c r="U40" t="str">
        <v>New</v>
      </c>
      <c r="V40" t="str">
        <v>Not started</v>
      </c>
    </row>
    <row r="41">
      <c r="A41" t="str">
        <v>Y-01</v>
      </c>
      <c r="B41" t="str">
        <v>Yards</v>
      </c>
      <c r="C41" t="str">
        <v>Structural Subcontracting</v>
      </c>
      <c r="D41" t="str">
        <v>/yards-integrators/structural-subcontracting/</v>
      </c>
      <c r="E41" t="str">
        <v>Service</v>
      </c>
      <c r="F41" t="str">
        <v>AV03</v>
      </c>
      <c r="G41" t="str">
        <v>Open</v>
      </c>
      <c r="H41" t="str">
        <v>P1</v>
      </c>
      <c r="I41" t="str">
        <v>Structural Steel Subcontracting for Shipyards | RTG</v>
      </c>
      <c r="J41">
        <f>LEN(I41)</f>
        <v>51</v>
      </c>
      <c r="K41" t="str">
        <v>Overflow structural fabrication, sea-fastenings and large welded assemblies, class surveyed, delivered to your build programme from an EU facility.</v>
      </c>
      <c r="L41">
        <f>LEN(K41)</f>
        <v>147</v>
      </c>
      <c r="M41" t="str">
        <v>Structural subcontracting</v>
      </c>
      <c r="N41" t="str">
        <v>shipyard steel subcontracting</v>
      </c>
      <c r="O41" t="str">
        <v>sea fastening fabrication; overflow steel fabrication marine; large welded assemblies</v>
      </c>
      <c r="P41" t="str">
        <v>Service</v>
      </c>
      <c r="Q41" t="str">
        <v>Sea-fastening or large structure under fabrication</v>
      </c>
      <c r="R41" t="str">
        <v>Capacity and sizes; class survey; programme adherence; logistics; EU origin</v>
      </c>
      <c r="S41" t="str">
        <v>Discuss a package</v>
      </c>
      <c r="T41">
        <v>650</v>
      </c>
      <c r="U41" t="str">
        <v>New</v>
      </c>
      <c r="V41" t="str">
        <v>Not started</v>
      </c>
    </row>
    <row r="42">
      <c r="A42" t="str">
        <v>Y-02</v>
      </c>
      <c r="B42" t="str">
        <v>Yards</v>
      </c>
      <c r="C42" t="str">
        <v>Deck-Equipment Packages</v>
      </c>
      <c r="D42" t="str">
        <v>/yards-integrators/deck-equipment-packages/</v>
      </c>
      <c r="E42" t="str">
        <v>Service</v>
      </c>
      <c r="F42" t="str">
        <v>AV03</v>
      </c>
      <c r="G42" t="str">
        <v>Open</v>
      </c>
      <c r="H42" t="str">
        <v>P2</v>
      </c>
      <c r="I42" t="str">
        <v>Deck Equipment Packages for Newbuild Vessels | RTG</v>
      </c>
      <c r="J42">
        <f>LEN(I42)</f>
        <v>50</v>
      </c>
      <c r="K42" t="str">
        <v>Complete deck handling packages specified, built, tested and commissioned for newbuild survey, research and offshore vessels, integrated with your programme.</v>
      </c>
      <c r="L42">
        <f>LEN(K42)</f>
        <v>157</v>
      </c>
      <c r="M42" t="str">
        <v>Deck equipment packages</v>
      </c>
      <c r="N42" t="str">
        <v>deck equipment package newbuild</v>
      </c>
      <c r="O42" t="str">
        <v>newbuild vessel deck machinery; survey vessel equipment package</v>
      </c>
      <c r="P42" t="str">
        <v>Service</v>
      </c>
      <c r="Q42" t="str">
        <v>Newbuild vessel at the quay with deck equipment installed</v>
      </c>
      <c r="R42" t="str">
        <v>What a package includes; integration with the build; commissioning; the HHI reference</v>
      </c>
      <c r="S42" t="str">
        <v>Discuss a newbuild programme</v>
      </c>
      <c r="T42">
        <v>600</v>
      </c>
      <c r="U42" t="str">
        <v>New</v>
      </c>
      <c r="V42" t="str">
        <v>Not started</v>
      </c>
    </row>
    <row r="43">
      <c r="A43" t="str">
        <v>Y-03</v>
      </c>
      <c r="B43" t="str">
        <v>Yards</v>
      </c>
      <c r="C43" t="str">
        <v>Certifications &amp; Approvals</v>
      </c>
      <c r="D43" t="str">
        <v>/yards-integrators/certifications-approvals/</v>
      </c>
      <c r="E43" t="str">
        <v>Proof</v>
      </c>
      <c r="F43" t="str">
        <v>AV03</v>
      </c>
      <c r="G43" t="str">
        <v>Open</v>
      </c>
      <c r="H43" t="str">
        <v>P1</v>
      </c>
      <c r="I43" t="str">
        <v>Certifications, Class Approvals &amp; Welding Standards | RTG</v>
      </c>
      <c r="J43">
        <f>LEN(I43)</f>
        <v>57</v>
      </c>
      <c r="K43" t="str">
        <v>Bureau Veritas Mode II recognition, welding procedures approved with TUV, DNV and Lloyd's Register, welders to ISO 9606-1 and NDT to ISO 9712 level 2.</v>
      </c>
      <c r="L43">
        <f>LEN(K43)</f>
        <v>150</v>
      </c>
      <c r="M43" t="str">
        <v>Certifications and approvals</v>
      </c>
      <c r="N43" t="str">
        <v>certified marine fabricator</v>
      </c>
      <c r="O43" t="str">
        <v>EN ISO 3834 certification; Bureau Veritas Mode II workshop; ISO 9606 welder qualification</v>
      </c>
      <c r="P43" t="str">
        <v>Article</v>
      </c>
      <c r="Q43" t="str">
        <v>Certificate wall or a stamped weld map, shot honestly</v>
      </c>
      <c r="R43" t="str">
        <v>Every item a vendor form asks for, listed; scope of each approval; who issued it; validity</v>
      </c>
      <c r="S43" t="str">
        <v>Download the vendor qualification pack</v>
      </c>
      <c r="T43">
        <v>700</v>
      </c>
      <c r="U43" t="str">
        <v>New</v>
      </c>
      <c r="V43" t="str">
        <v>Not started</v>
      </c>
    </row>
    <row r="44">
      <c r="A44" t="str">
        <v>Y-04</v>
      </c>
      <c r="B44" t="str">
        <v>Yards</v>
      </c>
      <c r="C44" t="str">
        <v>Vendor Qualification Pack</v>
      </c>
      <c r="D44" t="str">
        <v>/yards-integrators/vendor-qualification-pack/</v>
      </c>
      <c r="E44" t="str">
        <v>Form</v>
      </c>
      <c r="F44" t="str">
        <v>AV03</v>
      </c>
      <c r="G44" t="str">
        <v>Gated</v>
      </c>
      <c r="H44" t="str">
        <v>P1</v>
      </c>
      <c r="I44" t="str">
        <v>Download Our Vendor Qualification Pack | RTG</v>
      </c>
      <c r="J44">
        <f>LEN(I44)</f>
        <v>44</v>
      </c>
      <c r="K44" t="str">
        <v>Everything your procurement and quality teams need to assess RTG as an approved fabricator, in one document. Tell us the yard and the programme it is for.</v>
      </c>
      <c r="L44">
        <f>LEN(K44)</f>
        <v>154</v>
      </c>
      <c r="M44" t="str">
        <v>Vendor qualification pack</v>
      </c>
      <c r="N44" t="str">
        <v>vendor qualification pack fabricator</v>
      </c>
      <c r="O44" t="str">
        <v>supplier approval documents fabrication; approved vendor submission</v>
      </c>
      <c r="P44" t="str">
        <v>Service</v>
      </c>
      <c r="Q44" t="str">
        <v>Clean form page</v>
      </c>
      <c r="R44" t="str">
        <v>What is in the pack; form: yard, role, programme, timescale</v>
      </c>
      <c r="S44" t="str">
        <v>Download the pack</v>
      </c>
      <c r="T44">
        <v>250</v>
      </c>
      <c r="U44" t="str">
        <v>New</v>
      </c>
      <c r="V44" t="str">
        <v>Not started</v>
      </c>
    </row>
    <row r="45">
      <c r="A45" t="str">
        <v>P-00</v>
      </c>
      <c r="B45" t="str">
        <v>Proof</v>
      </c>
      <c r="C45" t="str">
        <v>Proof hub</v>
      </c>
      <c r="D45" t="str">
        <v>/proof/</v>
      </c>
      <c r="E45" t="str">
        <v>Hub</v>
      </c>
      <c r="F45" t="str">
        <v>ALL</v>
      </c>
      <c r="G45" t="str">
        <v>Open</v>
      </c>
      <c r="H45" t="str">
        <v>P1</v>
      </c>
      <c r="I45" t="str">
        <v>Case Studies, References &amp; Test Evidence | RTG</v>
      </c>
      <c r="J45">
        <f>LEN(I45)</f>
        <v>46</v>
      </c>
      <c r="K45" t="str">
        <v>Twenty-two years, more than 250 completed projects and around 1,500 deck machines. Case studies, vessel references, our test facility and what clients say.</v>
      </c>
      <c r="L45">
        <f>LEN(K45)</f>
        <v>155</v>
      </c>
      <c r="M45" t="str">
        <v>The evidence</v>
      </c>
      <c r="N45" t="str">
        <v>marine equipment case studies</v>
      </c>
      <c r="O45" t="str">
        <v>deck machinery references; offshore equipment track record</v>
      </c>
      <c r="P45" t="str">
        <v>CollectionPage</v>
      </c>
      <c r="Q45" t="str">
        <v>Composite: a delivered machine, a test stand, a vessel</v>
      </c>
      <c r="R45" t="str">
        <v>Proof bar; case study tiles; test facility; references; testimonials</v>
      </c>
      <c r="S45" t="str">
        <v>Read the case studies</v>
      </c>
      <c r="T45">
        <v>350</v>
      </c>
      <c r="U45" t="str">
        <v>New</v>
      </c>
      <c r="V45" t="str">
        <v>Not started</v>
      </c>
    </row>
    <row r="46">
      <c r="A46" t="str">
        <v>P-01</v>
      </c>
      <c r="B46" t="str">
        <v>Proof</v>
      </c>
      <c r="C46" t="str">
        <v>Case Studies index</v>
      </c>
      <c r="D46" t="str">
        <v>/proof/case-studies/</v>
      </c>
      <c r="E46" t="str">
        <v>Hub</v>
      </c>
      <c r="F46" t="str">
        <v>ALL</v>
      </c>
      <c r="G46" t="str">
        <v>Open</v>
      </c>
      <c r="H46" t="str">
        <v>P1</v>
      </c>
      <c r="I46" t="str">
        <v>Deck Equipment Case Studies | RTG</v>
      </c>
      <c r="J46">
        <f>LEN(I46)</f>
        <v>33</v>
      </c>
      <c r="K46" t="str">
        <v>How RTG standardised handling across a survey fleet, rebuilt a twelve-year-old traction winch, and built complete machines to an OEM's drawings.</v>
      </c>
      <c r="L46">
        <f>LEN(K46)</f>
        <v>144</v>
      </c>
      <c r="M46" t="str">
        <v>Case studies</v>
      </c>
      <c r="N46" t="str">
        <v>deck equipment case study</v>
      </c>
      <c r="O46" t="str">
        <v>winch refurbishment case study; contract manufacturing case study</v>
      </c>
      <c r="P46" t="str">
        <v>CollectionPage</v>
      </c>
      <c r="Q46" t="str">
        <v>Three case study cards with strong photography</v>
      </c>
      <c r="R46" t="str">
        <v>One card per case study with the headline number visible</v>
      </c>
      <c r="S46" t="str">
        <v>Read</v>
      </c>
      <c r="T46">
        <v>250</v>
      </c>
      <c r="U46" t="str">
        <v>New</v>
      </c>
      <c r="V46" t="str">
        <v>Not started</v>
      </c>
    </row>
    <row r="47">
      <c r="A47" t="str">
        <v>P-02</v>
      </c>
      <c r="B47" t="str">
        <v>Proof</v>
      </c>
      <c r="C47" t="str">
        <v>CS-01 Fleet standardisation</v>
      </c>
      <c r="D47" t="str">
        <v>/proof/case-studies/fleet-standardisation/</v>
      </c>
      <c r="E47" t="str">
        <v>Case</v>
      </c>
      <c r="F47" t="str">
        <v>AV01</v>
      </c>
      <c r="G47" t="str">
        <v>Open</v>
      </c>
      <c r="H47" t="str">
        <v>P1</v>
      </c>
      <c r="I47" t="str">
        <v>Case Study: One Handling Standard, Seven Vessels | RTG</v>
      </c>
      <c r="J47">
        <f>LEN(I47)</f>
        <v>54</v>
      </c>
      <c r="K47" t="str">
        <v>How a survey operator moved from a patchwork of launch and recovery systems to a single handling standard across seven vessels over fourteen years.</v>
      </c>
      <c r="L47">
        <f>LEN(K47)</f>
        <v>147</v>
      </c>
      <c r="M47" t="str">
        <v>Seven vessels. Fourteen years. One handling standard.</v>
      </c>
      <c r="N47" t="str">
        <v>fleet standardisation deck equipment</v>
      </c>
      <c r="O47" t="str">
        <v>survey fleet handling standard; LARS standardisation case study</v>
      </c>
      <c r="P47" t="str">
        <v>Article</v>
      </c>
      <c r="Q47" t="str">
        <v>Two vessels from the same fleet, same equipment visible</v>
      </c>
      <c r="R47" t="str">
        <v>Situation; constraint; engineering decision; result with a number; what it changed</v>
      </c>
      <c r="S47" t="str">
        <v>Talk about your fleet</v>
      </c>
      <c r="T47">
        <v>900</v>
      </c>
      <c r="U47" t="str">
        <v>New</v>
      </c>
      <c r="V47" t="str">
        <v>Not started</v>
      </c>
    </row>
    <row r="48">
      <c r="A48" t="str">
        <v>P-03</v>
      </c>
      <c r="B48" t="str">
        <v>Proof</v>
      </c>
      <c r="C48" t="str">
        <v>CS-02 Refurbishment 21REL-05</v>
      </c>
      <c r="D48" t="str">
        <v>/proof/case-studies/traction-winch-refurbishment/</v>
      </c>
      <c r="E48" t="str">
        <v>Case</v>
      </c>
      <c r="F48" t="str">
        <v>AV01</v>
      </c>
      <c r="G48" t="str">
        <v>Open</v>
      </c>
      <c r="H48" t="str">
        <v>P1</v>
      </c>
      <c r="I48" t="str">
        <v>Case Study: Rebuilding a 2009 Traction Winch | RTG</v>
      </c>
      <c r="J48">
        <f>LEN(I48)</f>
        <v>50</v>
      </c>
      <c r="K48" t="str">
        <v>A twelve-year-old electro-hydraulic traction winch assessed, rebuilt, upgraded and retested for offshore geotechnical work, with documentation reissued.</v>
      </c>
      <c r="L48">
        <f>LEN(K48)</f>
        <v>152</v>
      </c>
      <c r="M48" t="str">
        <v>The winch we built in 2009, rebuilt in 2021</v>
      </c>
      <c r="N48" t="str">
        <v>traction winch refurbishment</v>
      </c>
      <c r="O48" t="str">
        <v>electro hydraulic winch rebuild; winch condition assessment case study</v>
      </c>
      <c r="P48" t="str">
        <v>Article</v>
      </c>
      <c r="Q48" t="str">
        <v>Before and after of the same machine, matched angle</v>
      </c>
      <c r="R48" t="str">
        <v>Condition assessment; what was reused; upgrades; testing; documentation reissued; spares advice</v>
      </c>
      <c r="S48" t="str">
        <v>Book a condition assessment</v>
      </c>
      <c r="T48">
        <v>950</v>
      </c>
      <c r="U48" t="str">
        <v>New</v>
      </c>
      <c r="V48" t="str">
        <v>Not started</v>
      </c>
    </row>
    <row r="49">
      <c r="A49" t="str">
        <v>P-04</v>
      </c>
      <c r="B49" t="str">
        <v>Proof</v>
      </c>
      <c r="C49" t="str">
        <v>CS-03 Contract manufacturing</v>
      </c>
      <c r="D49" t="str">
        <v>/proof/case-studies/contract-manufacturing/</v>
      </c>
      <c r="E49" t="str">
        <v>Case</v>
      </c>
      <c r="F49" t="str">
        <v>AV02</v>
      </c>
      <c r="G49" t="str">
        <v>Open</v>
      </c>
      <c r="H49" t="str">
        <v>P1</v>
      </c>
      <c r="I49" t="str">
        <v>Case Study: A Complete Machine, Built to Their Drawings</v>
      </c>
      <c r="J49">
        <f>LEN(I49)</f>
        <v>55</v>
      </c>
      <c r="K49" t="str">
        <v>How an equipment OEM moved from outsourcing steelwork alone to handing RTG a complete machine, assembled, wired, tested under class and delivered.</v>
      </c>
      <c r="L49">
        <f>LEN(K49)</f>
        <v>146</v>
      </c>
      <c r="M49" t="str">
        <v>From a welded frame to a finished machine</v>
      </c>
      <c r="N49" t="str">
        <v>contract manufacturing case study</v>
      </c>
      <c r="O49" t="str">
        <v>build to print case study; outsourced machine build marine</v>
      </c>
      <c r="P49" t="str">
        <v>Article</v>
      </c>
      <c r="Q49" t="str">
        <v>Finished machine on the test stand, client branding removed</v>
      </c>
      <c r="R49" t="str">
        <v>Situation; the tier progression; what changed for them; result; how it started</v>
      </c>
      <c r="S49" t="str">
        <v>Send us your documentation</v>
      </c>
      <c r="T49">
        <v>900</v>
      </c>
      <c r="U49" t="str">
        <v>New</v>
      </c>
      <c r="V49" t="str">
        <v>Not started</v>
      </c>
    </row>
    <row r="50">
      <c r="A50" t="str">
        <v>P-05</v>
      </c>
      <c r="B50" t="str">
        <v>Proof</v>
      </c>
      <c r="C50" t="str">
        <v>CS-04 Yard programme</v>
      </c>
      <c r="D50" t="str">
        <v>/proof/case-studies/newbuild-yard-programme/</v>
      </c>
      <c r="E50" t="str">
        <v>Case</v>
      </c>
      <c r="F50" t="str">
        <v>AV03</v>
      </c>
      <c r="G50" t="str">
        <v>Open</v>
      </c>
      <c r="H50" t="str">
        <v>P2</v>
      </c>
      <c r="I50" t="str">
        <v>Case Study: Deck Equipment for a Newbuild Programme | RTG</v>
      </c>
      <c r="J50">
        <f>LEN(I50)</f>
        <v>57</v>
      </c>
      <c r="K50" t="str">
        <v>Supplying and commissioning deck handling equipment into a shipyard newbuild programme, delivered to the yard's own schedule and certified to class throughout.</v>
      </c>
      <c r="L50">
        <f>LEN(K50)</f>
        <v>159</v>
      </c>
      <c r="M50" t="str">
        <v>Delivered to the yard's programme</v>
      </c>
      <c r="N50" t="str">
        <v>shipyard deck equipment case study</v>
      </c>
      <c r="O50" t="str">
        <v>newbuild vessel equipment supply; yard subcontract case study</v>
      </c>
      <c r="P50" t="str">
        <v>Article</v>
      </c>
      <c r="Q50" t="str">
        <v>Vessel at the yard with equipment being installed</v>
      </c>
      <c r="R50" t="str">
        <v>Situation; the yard's constraint; how RTG worked to the programme; result; testimonial</v>
      </c>
      <c r="S50" t="str">
        <v>Discuss a build programme</v>
      </c>
      <c r="T50">
        <v>800</v>
      </c>
      <c r="U50" t="str">
        <v>New</v>
      </c>
      <c r="V50" t="str">
        <v>Not started</v>
      </c>
    </row>
    <row r="51">
      <c r="A51" t="str">
        <v>P-06</v>
      </c>
      <c r="B51" t="str">
        <v>Proof</v>
      </c>
      <c r="C51" t="str">
        <v>Test Facility</v>
      </c>
      <c r="D51" t="str">
        <v>/proof/test-facility/</v>
      </c>
      <c r="E51" t="str">
        <v>Proof</v>
      </c>
      <c r="F51" t="str">
        <v>ALL</v>
      </c>
      <c r="G51" t="str">
        <v>Open</v>
      </c>
      <c r="H51" t="str">
        <v>P1</v>
      </c>
      <c r="I51" t="str">
        <v>Load Testing to 150 Tonnes | Test Facility | RTG</v>
      </c>
      <c r="J51">
        <f>LEN(I51)</f>
        <v>48</v>
      </c>
      <c r="K51" t="str">
        <v>Two test stands, load testing to 150 tonnes with certified weights: proof load, dynamic functional, brake holding, render and speed tests under class witness.</v>
      </c>
      <c r="L51">
        <f>LEN(K51)</f>
        <v>158</v>
      </c>
      <c r="M51" t="str">
        <v>Nothing leaves this factory untested</v>
      </c>
      <c r="N51" t="str">
        <v>150 tonne load test facility</v>
      </c>
      <c r="O51" t="str">
        <v>winch load testing; factory acceptance test marine equipment; render test winch</v>
      </c>
      <c r="P51" t="str">
        <v>Article</v>
      </c>
      <c r="Q51" t="str">
        <v>Machine under load on the stand, weights and instruments visible</v>
      </c>
      <c r="R51" t="str">
        <v>The stands; the test suite explained; class witness; what the dossier contains; video</v>
      </c>
      <c r="S51" t="str">
        <v>Ask about factory acceptance testing</v>
      </c>
      <c r="T51">
        <v>750</v>
      </c>
      <c r="U51" t="str">
        <v>New</v>
      </c>
      <c r="V51" t="str">
        <v>Not started</v>
      </c>
    </row>
    <row r="52">
      <c r="A52" t="str">
        <v>P-07</v>
      </c>
      <c r="B52" t="str">
        <v>Proof</v>
      </c>
      <c r="C52" t="str">
        <v>Vessel &amp; Client References</v>
      </c>
      <c r="D52" t="str">
        <v>/proof/references/</v>
      </c>
      <c r="E52" t="str">
        <v>Proof</v>
      </c>
      <c r="F52" t="str">
        <v>ALL</v>
      </c>
      <c r="G52" t="str">
        <v>Open</v>
      </c>
      <c r="H52" t="str">
        <v>P2</v>
      </c>
      <c r="I52" t="str">
        <v>Vessels and Clients We Have Supplied | RTG</v>
      </c>
      <c r="J52">
        <f>LEN(I52)</f>
        <v>42</v>
      </c>
      <c r="K52" t="str">
        <v>More than 50 global customers and research institutions, over 250 completed projects and around 1,500 custom deck machines delivered since 2003.</v>
      </c>
      <c r="L52">
        <f>LEN(K52)</f>
        <v>144</v>
      </c>
      <c r="M52" t="str">
        <v>Vessels and clients</v>
      </c>
      <c r="N52" t="str">
        <v>marine equipment client references</v>
      </c>
      <c r="O52" t="str">
        <v>deck machinery reference list; research vessel equipment supplier</v>
      </c>
      <c r="P52" t="str">
        <v>CollectionPage</v>
      </c>
      <c r="Q52" t="str">
        <v>Grid of vessel photographs</v>
      </c>
      <c r="R52" t="str">
        <v>Reference list by sector; the numbers; permission-cleared logos only</v>
      </c>
      <c r="S52" t="str">
        <v>Ask for a reference in your sector</v>
      </c>
      <c r="T52">
        <v>400</v>
      </c>
      <c r="U52" t="str">
        <v>New</v>
      </c>
      <c r="V52" t="str">
        <v>Not started</v>
      </c>
    </row>
    <row r="53">
      <c r="A53" t="str">
        <v>P-08</v>
      </c>
      <c r="B53" t="str">
        <v>Proof</v>
      </c>
      <c r="C53" t="str">
        <v>What Clients Say</v>
      </c>
      <c r="D53" t="str">
        <v>/proof/testimonials/</v>
      </c>
      <c r="E53" t="str">
        <v>Proof</v>
      </c>
      <c r="F53" t="str">
        <v>ALL</v>
      </c>
      <c r="G53" t="str">
        <v>Open</v>
      </c>
      <c r="H53" t="str">
        <v>P2</v>
      </c>
      <c r="I53" t="str">
        <v>What Our Clients Say | Testimonials | RTG</v>
      </c>
      <c r="J53">
        <f>LEN(I53)</f>
        <v>41</v>
      </c>
      <c r="K53" t="str">
        <v>In the words of a global survey operator, a major shipyard and an offshore equipment specialist, on design quality, communication and on-time delivery.</v>
      </c>
      <c r="L53">
        <f>LEN(K53)</f>
        <v>151</v>
      </c>
      <c r="M53" t="str">
        <v>What clients say</v>
      </c>
      <c r="N53" t="str">
        <v>marine equipment supplier testimonials</v>
      </c>
      <c r="O53" t="str">
        <v>deck machinery client feedback</v>
      </c>
      <c r="P53" t="str">
        <v>CollectionPage</v>
      </c>
      <c r="Q53" t="str">
        <v>Portrait or vessel per testimonial, not stock</v>
      </c>
      <c r="R53" t="str">
        <v>Three testimonials with attribution and context</v>
      </c>
      <c r="S53" t="str">
        <v>Talk to us</v>
      </c>
      <c r="T53">
        <v>300</v>
      </c>
      <c r="U53" t="str">
        <v>Rewrite</v>
      </c>
      <c r="V53" t="str">
        <v>Not started</v>
      </c>
    </row>
    <row r="54">
      <c r="A54" t="str">
        <v>R-00</v>
      </c>
      <c r="B54" t="str">
        <v>Resources</v>
      </c>
      <c r="C54" t="str">
        <v>Technical Notes index</v>
      </c>
      <c r="D54" t="str">
        <v>/resources/technical-notes/</v>
      </c>
      <c r="E54" t="str">
        <v>Hub</v>
      </c>
      <c r="F54" t="str">
        <v>ALL</v>
      </c>
      <c r="G54" t="str">
        <v>Open</v>
      </c>
      <c r="H54" t="str">
        <v>P1</v>
      </c>
      <c r="I54" t="str">
        <v>Technical Notes on Deck Machinery Engineering | RTG</v>
      </c>
      <c r="J54">
        <f>LEN(I54)</f>
        <v>51</v>
      </c>
      <c r="K54" t="str">
        <v>Plain explanations of how deck machinery works: layer effect on line pull, Lebus grooving, lead-off angle, render testing, squeeze versus line tension.</v>
      </c>
      <c r="L54">
        <f>LEN(K54)</f>
        <v>151</v>
      </c>
      <c r="M54" t="str">
        <v>Technical notes</v>
      </c>
      <c r="N54" t="str">
        <v>deck machinery engineering explained</v>
      </c>
      <c r="O54" t="str">
        <v>winch line pull layers; Lebus grooving explained; render test explained</v>
      </c>
      <c r="P54" t="str">
        <v>CollectionPage</v>
      </c>
      <c r="Q54" t="str">
        <v>Line drawing or diagram, distinctly RTG</v>
      </c>
      <c r="R54" t="str">
        <v>Article cards; sorted by topic; these are the SEO engine of the site</v>
      </c>
      <c r="S54" t="str">
        <v>Read</v>
      </c>
      <c r="T54">
        <v>300</v>
      </c>
      <c r="U54" t="str">
        <v>New</v>
      </c>
      <c r="V54" t="str">
        <v>Not started</v>
      </c>
    </row>
    <row r="55">
      <c r="A55" t="str">
        <v>R-01</v>
      </c>
      <c r="B55" t="str">
        <v>Resources</v>
      </c>
      <c r="C55" t="str">
        <v>Datasheet Library</v>
      </c>
      <c r="D55" t="str">
        <v>/resources/datasheets/</v>
      </c>
      <c r="E55" t="str">
        <v>Form</v>
      </c>
      <c r="F55" t="str">
        <v>AV01</v>
      </c>
      <c r="G55" t="str">
        <v>Gated</v>
      </c>
      <c r="H55" t="str">
        <v>P1</v>
      </c>
      <c r="I55" t="str">
        <v>Request Equipment Datasheets | RTG</v>
      </c>
      <c r="J55">
        <f>LEN(I55)</f>
        <v>34</v>
      </c>
      <c r="K55" t="str">
        <v>Full datasheets including general arrangement drawings, issued to you by email. Tell us the equipment and the project and we will send the right ones.</v>
      </c>
      <c r="L55">
        <f>LEN(K55)</f>
        <v>150</v>
      </c>
      <c r="M55" t="str">
        <v>Datasheet library</v>
      </c>
      <c r="N55" t="str">
        <v>marine winch datasheet</v>
      </c>
      <c r="O55" t="str">
        <v>deck equipment specifications; winch general arrangement drawing</v>
      </c>
      <c r="P55" t="str">
        <v>Service</v>
      </c>
      <c r="Q55" t="str">
        <v>Clean form page</v>
      </c>
      <c r="R55" t="str">
        <v>What the full datasheet contains; watermarking notice; form</v>
      </c>
      <c r="S55" t="str">
        <v>Request datasheets</v>
      </c>
      <c r="T55">
        <v>250</v>
      </c>
      <c r="U55" t="str">
        <v>New</v>
      </c>
      <c r="V55" t="str">
        <v>Not started</v>
      </c>
    </row>
    <row r="56">
      <c r="A56" t="str">
        <v>R-02</v>
      </c>
      <c r="B56" t="str">
        <v>Resources</v>
      </c>
      <c r="C56" t="str">
        <v>Catalogues</v>
      </c>
      <c r="D56" t="str">
        <v>/resources/catalogues/</v>
      </c>
      <c r="E56" t="str">
        <v>Form</v>
      </c>
      <c r="F56" t="str">
        <v>ALL</v>
      </c>
      <c r="G56" t="str">
        <v>Gated</v>
      </c>
      <c r="H56" t="str">
        <v>P2</v>
      </c>
      <c r="I56" t="str">
        <v>Product Catalogues | RTG</v>
      </c>
      <c r="J56">
        <f>LEN(I56)</f>
        <v>24</v>
      </c>
      <c r="K56" t="str">
        <v>The full RTG deck equipment catalogue, issued on request. Tell us your sector and the work you do and we will send you the relevant volume by email.</v>
      </c>
      <c r="L56">
        <f>LEN(K56)</f>
        <v>148</v>
      </c>
      <c r="M56" t="str">
        <v>Catalogues</v>
      </c>
      <c r="N56" t="str">
        <v>deck equipment catalogue</v>
      </c>
      <c r="O56" t="str">
        <v>marine winch catalogue; offshore handling equipment catalogue</v>
      </c>
      <c r="P56" t="str">
        <v>Service</v>
      </c>
      <c r="Q56" t="str">
        <v>Catalogue spread, photographed</v>
      </c>
      <c r="R56" t="str">
        <v>What each catalogue covers; form</v>
      </c>
      <c r="S56" t="str">
        <v>Request a catalogue</v>
      </c>
      <c r="T56">
        <v>200</v>
      </c>
      <c r="U56" t="str">
        <v>Rewrite</v>
      </c>
      <c r="V56" t="str">
        <v>Not started</v>
      </c>
    </row>
    <row r="57">
      <c r="A57" t="str">
        <v>R-03</v>
      </c>
      <c r="B57" t="str">
        <v>Resources</v>
      </c>
      <c r="C57" t="str">
        <v>News &amp; Insight</v>
      </c>
      <c r="D57" t="str">
        <v>/resources/news/</v>
      </c>
      <c r="E57" t="str">
        <v>Hub</v>
      </c>
      <c r="F57" t="str">
        <v>ALL</v>
      </c>
      <c r="G57" t="str">
        <v>Open</v>
      </c>
      <c r="H57" t="str">
        <v>P2</v>
      </c>
      <c r="I57" t="str">
        <v>News and Insight | RTG</v>
      </c>
      <c r="J57">
        <f>LEN(I57)</f>
        <v>22</v>
      </c>
      <c r="K57" t="str">
        <v>Project news, technical insight and market commentary on deck machinery and offshore handling, from RTG's UK and Romanian engineering teams. Updated monthly.</v>
      </c>
      <c r="L57">
        <f>LEN(K57)</f>
        <v>157</v>
      </c>
      <c r="M57" t="str">
        <v>News and insight</v>
      </c>
      <c r="N57" t="str">
        <v>marine deck equipment news</v>
      </c>
      <c r="O57" t="str">
        <v>offshore equipment industry insight</v>
      </c>
      <c r="P57" t="str">
        <v>Blog</v>
      </c>
      <c r="Q57" t="str">
        <v>Recent project photograph</v>
      </c>
      <c r="R57" t="str">
        <v>Post list; must be merged onto the main domain from the WordPress subsite</v>
      </c>
      <c r="S57" t="str">
        <v>Subscribe</v>
      </c>
      <c r="T57">
        <v>250</v>
      </c>
      <c r="U57" t="str">
        <v>Migrate</v>
      </c>
      <c r="V57" t="str">
        <v>Not started</v>
      </c>
    </row>
    <row r="58">
      <c r="A58" t="str">
        <v>A-01</v>
      </c>
      <c r="B58" t="str">
        <v>About</v>
      </c>
      <c r="C58" t="str">
        <v>The Company</v>
      </c>
      <c r="D58" t="str">
        <v>/about/</v>
      </c>
      <c r="E58" t="str">
        <v>About</v>
      </c>
      <c r="F58" t="str">
        <v>ALL</v>
      </c>
      <c r="G58" t="str">
        <v>Open</v>
      </c>
      <c r="H58" t="str">
        <v>P1</v>
      </c>
      <c r="I58" t="str">
        <v>About RTG | British Design, European Manufacture</v>
      </c>
      <c r="J58">
        <f>LEN(I58)</f>
        <v>48</v>
      </c>
      <c r="K58" t="str">
        <v>Founded to combine British deck equipment design with European manufacturing. Twenty-two years, 250 projects and around 1,500 machines delivered.</v>
      </c>
      <c r="L58">
        <f>LEN(K58)</f>
        <v>145</v>
      </c>
      <c r="M58" t="str">
        <v>A father, a son, and a factory in Satu Mare</v>
      </c>
      <c r="N58" t="str">
        <v>Romica Tie Group</v>
      </c>
      <c r="O58" t="str">
        <v>British marine equipment designer; European deck machinery manufacturer</v>
      </c>
      <c r="P58" t="str">
        <v>AboutPage</v>
      </c>
      <c r="Q58" t="str">
        <v>Founders or the facility exterior, honest and unposed</v>
      </c>
      <c r="R58" t="str">
        <v>The founding story; the model; the numbers; values; where we are going</v>
      </c>
      <c r="S58" t="str">
        <v>Meet the team</v>
      </c>
      <c r="T58">
        <v>800</v>
      </c>
      <c r="U58" t="str">
        <v>Rewrite</v>
      </c>
      <c r="V58" t="str">
        <v>Not started</v>
      </c>
    </row>
    <row r="59">
      <c r="A59" t="str">
        <v>A-02</v>
      </c>
      <c r="B59" t="str">
        <v>About</v>
      </c>
      <c r="C59" t="str">
        <v>People &amp; Facility</v>
      </c>
      <c r="D59" t="str">
        <v>/about/people-facility/</v>
      </c>
      <c r="E59" t="str">
        <v>About</v>
      </c>
      <c r="F59" t="str">
        <v>ALL</v>
      </c>
      <c r="G59" t="str">
        <v>Open</v>
      </c>
      <c r="H59" t="str">
        <v>P1</v>
      </c>
      <c r="I59" t="str">
        <v>Our People and Our Factory at Satu Mare | RTG</v>
      </c>
      <c r="J59">
        <f>LEN(I59)</f>
        <v>45</v>
      </c>
      <c r="K59" t="str">
        <v>Around 80 engineers, welders, fitters and technicians in a purpose-built facility in Satu Mare, Romania, with design and commercial teams in the UK.</v>
      </c>
      <c r="L59">
        <f>LEN(K59)</f>
        <v>148</v>
      </c>
      <c r="M59" t="str">
        <v>The people and the place</v>
      </c>
      <c r="N59" t="str">
        <v>Satu Mare engineering factory</v>
      </c>
      <c r="O59" t="str">
        <v>marine equipment factory Romania; deck machinery manufacturing facility</v>
      </c>
      <c r="P59" t="str">
        <v>AboutPage</v>
      </c>
      <c r="Q59" t="str">
        <v>Wide factory shot with people working, plus portraits</v>
      </c>
      <c r="R59" t="str">
        <v>The facility; the disciplines; portraits; the walk-through video</v>
      </c>
      <c r="S59" t="str">
        <v>See our vacancies</v>
      </c>
      <c r="T59">
        <v>600</v>
      </c>
      <c r="U59" t="str">
        <v>New</v>
      </c>
      <c r="V59" t="str">
        <v>Not started</v>
      </c>
    </row>
    <row r="60">
      <c r="A60" t="str">
        <v>A-03</v>
      </c>
      <c r="B60" t="str">
        <v>About</v>
      </c>
      <c r="C60" t="str">
        <v>QHSE</v>
      </c>
      <c r="D60" t="str">
        <v>/about/qhse/</v>
      </c>
      <c r="E60" t="str">
        <v>About</v>
      </c>
      <c r="F60" t="str">
        <v>ALL</v>
      </c>
      <c r="G60" t="str">
        <v>Open</v>
      </c>
      <c r="H60" t="str">
        <v>P2</v>
      </c>
      <c r="I60" t="str">
        <v>Quality, Health, Safety and Environment | RTG</v>
      </c>
      <c r="J60">
        <f>LEN(I60)</f>
        <v>45</v>
      </c>
      <c r="K60" t="str">
        <v>How RTG manages quality, safety and environmental responsibility across design, manufacture, testing and site work, and the standards it is assessed against.</v>
      </c>
      <c r="L60">
        <f>LEN(K60)</f>
        <v>157</v>
      </c>
      <c r="M60" t="str">
        <v>QHSE</v>
      </c>
      <c r="N60" t="str">
        <v>marine manufacturer QHSE</v>
      </c>
      <c r="O60" t="str">
        <v>ISO 9001 marine fabrication; offshore equipment safety management</v>
      </c>
      <c r="P60" t="str">
        <v>Article</v>
      </c>
      <c r="Q60" t="str">
        <v>Safety in practice on the shop floor, not a poster</v>
      </c>
      <c r="R60" t="str">
        <v>Policy summary; standards held; how it is audited; downloadable policy</v>
      </c>
      <c r="S60" t="str">
        <v>Download our QHSE policy</v>
      </c>
      <c r="T60">
        <v>500</v>
      </c>
      <c r="U60" t="str">
        <v>Rewrite</v>
      </c>
      <c r="V60" t="str">
        <v>Not started</v>
      </c>
    </row>
    <row r="61">
      <c r="A61" t="str">
        <v>A-04</v>
      </c>
      <c r="B61" t="str">
        <v>About</v>
      </c>
      <c r="C61" t="str">
        <v>Sustainability</v>
      </c>
      <c r="D61" t="str">
        <v>/about/sustainability/</v>
      </c>
      <c r="E61" t="str">
        <v>About</v>
      </c>
      <c r="F61" t="str">
        <v>ALL</v>
      </c>
      <c r="G61" t="str">
        <v>Open</v>
      </c>
      <c r="H61" t="str">
        <v>P3</v>
      </c>
      <c r="I61" t="str">
        <v>Sustainability and Ocean Research | RTG</v>
      </c>
      <c r="J61">
        <f>LEN(I61)</f>
        <v>39</v>
      </c>
      <c r="K61" t="str">
        <v>Equipment designed for long service life and refurbishment rather than replacement, supporting ocean research and offshore renewable energy.</v>
      </c>
      <c r="L61">
        <f>LEN(K61)</f>
        <v>140</v>
      </c>
      <c r="M61" t="str">
        <v>Sustainability, for a company that builds steel</v>
      </c>
      <c r="N61" t="str">
        <v>sustainable marine manufacturing</v>
      </c>
      <c r="O61" t="str">
        <v>ocean research equipment sustainability; equipment life extension</v>
      </c>
      <c r="P61" t="str">
        <v>Article</v>
      </c>
      <c r="Q61" t="str">
        <v>Research vessel at sea, restrained treatment</v>
      </c>
      <c r="R61" t="str">
        <v>Design life; refurbishment over replacement; what the equipment enables; no greenwash</v>
      </c>
      <c r="S61" t="str">
        <v>Read about refurbishment</v>
      </c>
      <c r="T61">
        <v>450</v>
      </c>
      <c r="U61" t="str">
        <v>New</v>
      </c>
      <c r="V61" t="str">
        <v>Not started</v>
      </c>
    </row>
    <row r="62">
      <c r="A62" t="str">
        <v>A-05</v>
      </c>
      <c r="B62" t="str">
        <v>About</v>
      </c>
      <c r="C62" t="str">
        <v>Careers</v>
      </c>
      <c r="D62" t="str">
        <v>/about/careers/</v>
      </c>
      <c r="E62" t="str">
        <v>Careers</v>
      </c>
      <c r="F62" t="str">
        <v>ALL</v>
      </c>
      <c r="G62" t="str">
        <v>Open</v>
      </c>
      <c r="H62" t="str">
        <v>P1</v>
      </c>
      <c r="I62" t="str">
        <v>Careers at RTG | Engineering Jobs in Satu Mare and the UK</v>
      </c>
      <c r="J62">
        <f>LEN(I62)</f>
        <v>57</v>
      </c>
      <c r="K62" t="str">
        <v>Welding, mechanical, hydraulic, electrical, automation and design roles in Satu Mare and the UK. See what we build and who you would build it with.</v>
      </c>
      <c r="L62">
        <f>LEN(K62)</f>
        <v>147</v>
      </c>
      <c r="M62" t="str">
        <v>Build things that go to sea</v>
      </c>
      <c r="N62" t="str">
        <v>engineering jobs Satu Mare</v>
      </c>
      <c r="O62" t="str">
        <v>welder jobs Romania marine; marine engineering careers; automation engineer jobs</v>
      </c>
      <c r="P62" t="str">
        <v>JobPosting</v>
      </c>
      <c r="Q62" t="str">
        <v>People at work, faces visible, genuinely appealing</v>
      </c>
      <c r="R62" t="str">
        <v>Why here; the disciplines; training and qualification; current vacancies; apply</v>
      </c>
      <c r="S62" t="str">
        <v>See current vacancies</v>
      </c>
      <c r="T62">
        <v>550</v>
      </c>
      <c r="U62" t="str">
        <v>New</v>
      </c>
      <c r="V62" t="str">
        <v>Not started</v>
      </c>
    </row>
    <row r="63">
      <c r="A63" t="str">
        <v>X-01</v>
      </c>
      <c r="B63" t="str">
        <v>Contact</v>
      </c>
      <c r="C63" t="str">
        <v>Contact</v>
      </c>
      <c r="D63" t="str">
        <v>/contact/</v>
      </c>
      <c r="E63" t="str">
        <v>Contact</v>
      </c>
      <c r="F63" t="str">
        <v>ALL</v>
      </c>
      <c r="G63" t="str">
        <v>Open</v>
      </c>
      <c r="H63" t="str">
        <v>P1</v>
      </c>
      <c r="I63" t="str">
        <v>Contact RTG | UK and Romania Offices</v>
      </c>
      <c r="J63">
        <f>LEN(I63)</f>
        <v>36</v>
      </c>
      <c r="K63" t="str">
        <v>Talk to our UK commercial team or our factory at Satu Mare in Romania, or find your regional agent across the Americas and Asia Pacific. We answer quickly.</v>
      </c>
      <c r="L63">
        <f>LEN(K63)</f>
        <v>155</v>
      </c>
      <c r="M63" t="str">
        <v>Contact us</v>
      </c>
      <c r="N63" t="str">
        <v>contact marine equipment manufacturer</v>
      </c>
      <c r="O63" t="str">
        <v>deck machinery supplier contact; winch manufacturer UK</v>
      </c>
      <c r="P63" t="str">
        <v>ContactPage</v>
      </c>
      <c r="Q63" t="str">
        <v>Office or factory exterior, map alongside</v>
      </c>
      <c r="R63" t="str">
        <v>Both offices with people named; phone and email; map; enquiry routing</v>
      </c>
      <c r="S63" t="str">
        <v>Send an enquiry</v>
      </c>
      <c r="T63">
        <v>300</v>
      </c>
      <c r="U63" t="str">
        <v>Rewrite</v>
      </c>
      <c r="V63" t="str">
        <v>Not started</v>
      </c>
    </row>
    <row r="64">
      <c r="A64" t="str">
        <v>X-02</v>
      </c>
      <c r="B64" t="str">
        <v>Contact</v>
      </c>
      <c r="C64" t="str">
        <v>Agents - Americas &amp; APAC</v>
      </c>
      <c r="D64" t="str">
        <v>/contact/agents/</v>
      </c>
      <c r="E64" t="str">
        <v>Contact</v>
      </c>
      <c r="F64" t="str">
        <v>ALL</v>
      </c>
      <c r="G64" t="str">
        <v>Open</v>
      </c>
      <c r="H64" t="str">
        <v>P1</v>
      </c>
      <c r="I64" t="str">
        <v>Our Agents in the Americas and Asia Pacific | RTG</v>
      </c>
      <c r="J64">
        <f>LEN(I64)</f>
        <v>49</v>
      </c>
      <c r="K64" t="str">
        <v>Local representation for sales, support and spares across the Americas and Asia Pacific, backed directly by the engineers who designed and built the equipment.</v>
      </c>
      <c r="L64">
        <f>LEN(K64)</f>
        <v>159</v>
      </c>
      <c r="M64" t="str">
        <v>Where to find us</v>
      </c>
      <c r="N64" t="str">
        <v>marine equipment agents worldwide</v>
      </c>
      <c r="O64" t="str">
        <v>offshore equipment representative Americas; deck machinery agent Asia Pacific</v>
      </c>
      <c r="P64" t="str">
        <v>ContactPage</v>
      </c>
      <c r="Q64" t="str">
        <v>World map, honestly marked</v>
      </c>
      <c r="R64" t="str">
        <v>Agent list by region with contact details; what agents can do; escalation to RTG</v>
      </c>
      <c r="S64" t="str">
        <v>Find your regional contact</v>
      </c>
      <c r="T64">
        <v>350</v>
      </c>
      <c r="U64" t="str">
        <v>New</v>
      </c>
      <c r="V64" t="str">
        <v>Not started</v>
      </c>
    </row>
    <row r="65">
      <c r="A65" t="str">
        <v>X-03</v>
      </c>
      <c r="B65" t="str">
        <v>Contact</v>
      </c>
      <c r="C65" t="str">
        <v>Request a Quotation</v>
      </c>
      <c r="D65" t="str">
        <v>/contact/request-a-quotation/</v>
      </c>
      <c r="E65" t="str">
        <v>Form</v>
      </c>
      <c r="F65" t="str">
        <v>ALL</v>
      </c>
      <c r="G65" t="str">
        <v>Gated</v>
      </c>
      <c r="H65" t="str">
        <v>P1</v>
      </c>
      <c r="I65" t="str">
        <v>Request a Quotation | RTG</v>
      </c>
      <c r="J65">
        <f>LEN(I65)</f>
        <v>25</v>
      </c>
      <c r="K65" t="str">
        <v>Tell us the duty, the vessel and the timescale. We will come back with a proposed configuration and an indicative price, and say what we still need.</v>
      </c>
      <c r="L65">
        <f>LEN(K65)</f>
        <v>148</v>
      </c>
      <c r="M65" t="str">
        <v>Request a quotation</v>
      </c>
      <c r="N65" t="str">
        <v>marine winch quotation</v>
      </c>
      <c r="O65" t="str">
        <v>deck equipment quote; custom winch price enquiry</v>
      </c>
      <c r="P65" t="str">
        <v>Service</v>
      </c>
      <c r="Q65" t="str">
        <v>Clean form page</v>
      </c>
      <c r="R65" t="str">
        <v>What to tell us; turnaround commitment; form</v>
      </c>
      <c r="S65" t="str">
        <v>Submit</v>
      </c>
      <c r="T65">
        <v>250</v>
      </c>
      <c r="U65" t="str">
        <v>New</v>
      </c>
      <c r="V65" t="str">
        <v>Not started</v>
      </c>
    </row>
    <row r="66">
      <c r="A66" t="str">
        <v>X-04</v>
      </c>
      <c r="B66" t="str">
        <v>Contact</v>
      </c>
      <c r="C66" t="str">
        <v>Aftersales &amp; Spares</v>
      </c>
      <c r="D66" t="str">
        <v>/contact/aftersales/</v>
      </c>
      <c r="E66" t="str">
        <v>Form</v>
      </c>
      <c r="F66" t="str">
        <v>AV01</v>
      </c>
      <c r="G66" t="str">
        <v>Gated</v>
      </c>
      <c r="H66" t="str">
        <v>P2</v>
      </c>
      <c r="I66" t="str">
        <v>Aftersales, Spares and Field Service | RTG</v>
      </c>
      <c r="J66">
        <f>LEN(I66)</f>
        <v>42</v>
      </c>
      <c r="K66" t="str">
        <v>Existing equipment, urgent spares or a technical problem at sea. Tell us the equipment and the vessel and we will route it to the right engineer.</v>
      </c>
      <c r="L66">
        <f>LEN(K66)</f>
        <v>145</v>
      </c>
      <c r="M66" t="str">
        <v>Aftersales and spares</v>
      </c>
      <c r="N66" t="str">
        <v>marine winch spares enquiry</v>
      </c>
      <c r="O66" t="str">
        <v>deck machinery field service request; urgent offshore spares</v>
      </c>
      <c r="P66" t="str">
        <v>Service</v>
      </c>
      <c r="Q66" t="str">
        <v>Clean form page</v>
      </c>
      <c r="R66" t="str">
        <v>Response commitment; what to tell us; out of hours; form</v>
      </c>
      <c r="S66" t="str">
        <v>Submit</v>
      </c>
      <c r="T66">
        <v>250</v>
      </c>
      <c r="U66" t="str">
        <v>New</v>
      </c>
      <c r="V66" t="str">
        <v>Not started</v>
      </c>
    </row>
    <row r="67">
      <c r="A67" t="str">
        <v>Z-01</v>
      </c>
      <c r="B67" t="str">
        <v>Legal</v>
      </c>
      <c r="C67" t="str">
        <v>Privacy Notice</v>
      </c>
      <c r="D67" t="str">
        <v>/privacy/</v>
      </c>
      <c r="E67" t="str">
        <v>Legal</v>
      </c>
      <c r="F67" t="str">
        <v>ALL</v>
      </c>
      <c r="G67" t="str">
        <v>Open</v>
      </c>
      <c r="H67" t="str">
        <v>P1</v>
      </c>
      <c r="I67" t="str">
        <v>Privacy Notice | RTG</v>
      </c>
      <c r="J67">
        <f>LEN(I67)</f>
        <v>20</v>
      </c>
      <c r="K67" t="str">
        <v>How RTG collects, uses and stores personal data submitted through this website, and your rights under UK and EU data protection law.</v>
      </c>
      <c r="L67">
        <f>LEN(K67)</f>
        <v>132</v>
      </c>
      <c r="M67" t="str">
        <v>Privacy notice</v>
      </c>
      <c r="N67" t="str">
        <v>privacy notice</v>
      </c>
      <c r="O67" t="str">
        <v>data protection notice</v>
      </c>
      <c r="P67" t="str">
        <v>WebPage</v>
      </c>
      <c r="Q67" t="str">
        <v>None</v>
      </c>
      <c r="R67" t="str">
        <v>Lawful basis; what is collected; retention; rights; contact for DPO</v>
      </c>
      <c r="S67" t="str">
        <v>None</v>
      </c>
      <c r="T67">
        <v>900</v>
      </c>
      <c r="U67" t="str">
        <v>New</v>
      </c>
      <c r="V67" t="str">
        <v>Not started</v>
      </c>
    </row>
    <row r="68">
      <c r="A68" t="str">
        <v>Z-02</v>
      </c>
      <c r="B68" t="str">
        <v>Legal</v>
      </c>
      <c r="C68" t="str">
        <v>Cookie Policy</v>
      </c>
      <c r="D68" t="str">
        <v>/cookies/</v>
      </c>
      <c r="E68" t="str">
        <v>Legal</v>
      </c>
      <c r="F68" t="str">
        <v>ALL</v>
      </c>
      <c r="G68" t="str">
        <v>Open</v>
      </c>
      <c r="H68" t="str">
        <v>P1</v>
      </c>
      <c r="I68" t="str">
        <v>Cookie Policy | RTG</v>
      </c>
      <c r="J68">
        <f>LEN(I68)</f>
        <v>19</v>
      </c>
      <c r="K68" t="str">
        <v>The cookies and similar technologies used on this website, what each is for, and how to change your consent at any time.</v>
      </c>
      <c r="L68">
        <f>LEN(K68)</f>
        <v>120</v>
      </c>
      <c r="M68" t="str">
        <v>Cookie policy</v>
      </c>
      <c r="N68" t="str">
        <v>cookie policy</v>
      </c>
      <c r="O68" t="str">
        <v>cookie consent</v>
      </c>
      <c r="P68" t="str">
        <v>WebPage</v>
      </c>
      <c r="Q68" t="str">
        <v>None</v>
      </c>
      <c r="R68" t="str">
        <v>Categories; each cookie named; consent management link</v>
      </c>
      <c r="S68" t="str">
        <v>Manage preferences</v>
      </c>
      <c r="T68">
        <v>600</v>
      </c>
      <c r="U68" t="str">
        <v>New</v>
      </c>
      <c r="V68" t="str">
        <v>Not started</v>
      </c>
    </row>
    <row r="69">
      <c r="A69" t="str">
        <v>Z-03</v>
      </c>
      <c r="B69" t="str">
        <v>Legal</v>
      </c>
      <c r="C69" t="str">
        <v>Terms of Use</v>
      </c>
      <c r="D69" t="str">
        <v>/terms/</v>
      </c>
      <c r="E69" t="str">
        <v>Legal</v>
      </c>
      <c r="F69" t="str">
        <v>ALL</v>
      </c>
      <c r="G69" t="str">
        <v>Open</v>
      </c>
      <c r="H69" t="str">
        <v>P2</v>
      </c>
      <c r="I69" t="str">
        <v>Terms of Use and Copyright | RTG</v>
      </c>
      <c r="J69">
        <f>LEN(I69)</f>
        <v>32</v>
      </c>
      <c r="K69" t="str">
        <v>Terms governing use of this website and of documentation issued through it, including copyright in RTG drawings and technical publications.</v>
      </c>
      <c r="L69">
        <f>LEN(K69)</f>
        <v>139</v>
      </c>
      <c r="M69" t="str">
        <v>Terms of use</v>
      </c>
      <c r="N69" t="str">
        <v>website terms of use</v>
      </c>
      <c r="O69" t="str">
        <v>copyright technical drawings; documentation terms</v>
      </c>
      <c r="P69" t="str">
        <v>WebPage</v>
      </c>
      <c r="Q69" t="str">
        <v>None</v>
      </c>
      <c r="R69" t="str">
        <v>Use of site; copyright in drawings and datasheets; confidentiality of issued documents</v>
      </c>
      <c r="S69" t="str">
        <v>None</v>
      </c>
      <c r="T69">
        <v>700</v>
      </c>
      <c r="U69" t="str">
        <v>New</v>
      </c>
      <c r="V69" t="str">
        <v>Not started</v>
      </c>
    </row>
    <row r="70">
      <c r="A70" t="str">
        <v>Z-04</v>
      </c>
      <c r="B70" t="str">
        <v>Legal</v>
      </c>
      <c r="C70" t="str">
        <v>Accessibility</v>
      </c>
      <c r="D70" t="str">
        <v>/accessibility/</v>
      </c>
      <c r="E70" t="str">
        <v>Legal</v>
      </c>
      <c r="F70" t="str">
        <v>ALL</v>
      </c>
      <c r="G70" t="str">
        <v>Open</v>
      </c>
      <c r="H70" t="str">
        <v>P3</v>
      </c>
      <c r="I70" t="str">
        <v>Accessibility Statement | RTG</v>
      </c>
      <c r="J70">
        <f>LEN(I70)</f>
        <v>29</v>
      </c>
      <c r="K70" t="str">
        <v>How this website is designed to be usable by everyone, the standard it targets, and how to report a problem.</v>
      </c>
      <c r="L70">
        <f>LEN(K70)</f>
        <v>108</v>
      </c>
      <c r="M70" t="str">
        <v>Accessibility</v>
      </c>
      <c r="N70" t="str">
        <v>accessibility statement</v>
      </c>
      <c r="O70" t="str">
        <v>WCAG accessibility</v>
      </c>
      <c r="P70" t="str">
        <v>WebPage</v>
      </c>
      <c r="Q70" t="str">
        <v>None</v>
      </c>
      <c r="R70" t="str">
        <v>Standard targeted; known issues; feedback route</v>
      </c>
      <c r="S70" t="str">
        <v>Report an issue</v>
      </c>
      <c r="T70">
        <v>400</v>
      </c>
      <c r="U70" t="str">
        <v>New</v>
      </c>
      <c r="V70" t="str">
        <v>Not started</v>
      </c>
    </row>
    <row r="71">
      <c r="A71" t="str">
        <v>R-04</v>
      </c>
      <c r="B71" t="str">
        <v>Resources</v>
      </c>
      <c r="C71" t="str">
        <v>Resources hub</v>
      </c>
      <c r="D71" t="str">
        <v>/resources/</v>
      </c>
      <c r="E71" t="str">
        <v>Hub</v>
      </c>
      <c r="F71" t="str">
        <v>ALL</v>
      </c>
      <c r="G71" t="str">
        <v>Open</v>
      </c>
      <c r="H71" t="str">
        <v>P1</v>
      </c>
      <c r="I71" t="str">
        <v>Resources | Datasheets, Notes &amp; News | RTG</v>
      </c>
      <c r="J71">
        <f>LEN(I71)</f>
        <v>42</v>
      </c>
      <c r="K71" t="str">
        <v>Technical notes, open datasheets, catalogues and industry news for engineers specifying deck equipment — everything RTG publishes, gathered in one place.</v>
      </c>
      <c r="L71">
        <f>LEN(K71)</f>
        <v>153</v>
      </c>
      <c r="M71" t="str">
        <v>Everything we publish, in one place</v>
      </c>
      <c r="N71" t="str">
        <v>marine deck equipment resources</v>
      </c>
      <c r="O71" t="str">
        <v>winch datasheets; technical notes; equipment catalogues</v>
      </c>
      <c r="P71" t="str">
        <v>CollectionPage</v>
      </c>
      <c r="Q71" t="str">
        <v>Grid of resource categories — technical notes, datasheets, catalogues, news</v>
      </c>
      <c r="R71" t="str">
        <v>Intro; resource category tiles; featured technical note</v>
      </c>
      <c r="S71" t="str">
        <v>Find what you need</v>
      </c>
      <c r="T71">
        <v>200</v>
      </c>
      <c r="U71" t="str">
        <v>New</v>
      </c>
      <c r="V71" t="str">
        <v>Not started</v>
      </c>
    </row>
    <row r="72">
      <c r="A72" t="str">
        <v>TOTALS</v>
      </c>
      <c r="H72">
        <f>COUNTIF(H2:H70,"P1")</f>
        <v>47</v>
      </c>
      <c r="I72" t="str">
        <v>P1 pages</v>
      </c>
      <c r="T72">
        <f>SUM(T2:T70)</f>
        <v>39200</v>
      </c>
      <c r="U72" t="str">
        <v>total words to write</v>
      </c>
    </row>
    <row r="73">
      <c r="I73">
        <f>COUNTIF(J2:J70,"&gt;60")</f>
        <v>0</v>
      </c>
      <c r="K73" t="str">
        <v>title tags over 60 chars - fix these</v>
      </c>
      <c r="L73">
        <f>COUNTIF(L2:L70,"&gt;160")</f>
        <v>0</v>
      </c>
      <c r="M73" t="str">
        <v>meta descriptions over 160 chars</v>
      </c>
    </row>
  </sheetData>
  <autoFilter ref="A1:V70"/>
  <pageMargins left="0.75" right="0.75" top="1" bottom="1" header="0.511811023622047" footer="0.511811023622047"/>
  <ignoredErrors>
    <ignoredError numberStoredAsText="1" sqref="A1:V73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C19"/>
  <sheetViews>
    <sheetView workbookViewId="0" rightToLeft="0"/>
  </sheetViews>
  <sheetData>
    <row r="1">
      <c r="A1" t="str">
        <v>Item</v>
      </c>
      <c r="B1" t="str">
        <v>Rule</v>
      </c>
      <c r="C1" t="str">
        <v>Why / current state</v>
      </c>
    </row>
    <row r="2">
      <c r="A2" t="str">
        <v>GLOBAL RULES — apply to every page</v>
      </c>
    </row>
    <row r="3">
      <c r="A3" t="str">
        <v>Title tag</v>
      </c>
      <c r="B3" t="str">
        <v>Pattern: [What it is] | [Qualifier] | RTG. Target 50-60 characters. Brand LAST, never first.</v>
      </c>
      <c r="C3" t="str">
        <v>Current site does the opposite: 'Romica Engineering LTD - MULTIFUNCTIONAL WINCHES'. Wrong brand, least useful words first.</v>
      </c>
    </row>
    <row r="4">
      <c r="A4" t="str">
        <v>Meta description</v>
      </c>
      <c r="B4" t="str">
        <v>150-160 characters. Must contain the primary keyword and end with a reason to click. Never duplicated between pages.</v>
      </c>
      <c r="C4" t="str">
        <v>No page on the current site carries this tag at all.</v>
      </c>
    </row>
    <row r="5">
      <c r="A5" t="str">
        <v>Meta keywords</v>
      </c>
      <c r="B5" t="str">
        <v>Do not add. Ignored by all major search engines.</v>
      </c>
      <c r="C5" t="str">
        <v>Explicitly not required.</v>
      </c>
    </row>
    <row r="6">
      <c r="A6" t="str">
        <v>Canonical</v>
      </c>
      <c r="B6" t="str">
        <v>Self-referencing &lt;link rel='canonical'&gt; on every page, absolute URL, https, chosen host only.</v>
      </c>
      <c r="C6" t="str">
        <v>Currently absent site-wide. Two domains resolve.</v>
      </c>
    </row>
    <row r="7">
      <c r="A7" t="str">
        <v>H1</v>
      </c>
      <c r="B7" t="str">
        <v>Exactly one per page. Must state the page subject in the buyer's language, not RTG's.</v>
      </c>
      <c r="C7" t="str">
        <v>Homepage currently carries three H1s.</v>
      </c>
    </row>
    <row r="8">
      <c r="A8" t="str">
        <v>Open Graph</v>
      </c>
      <c r="B8" t="str">
        <v>og:title, og:description, og:image (1200x630), og:url, og:type on every page. Twitter card summary_large_image.</v>
      </c>
      <c r="C8" t="str">
        <v>Absent site-wide. Blocks the LinkedIn content calendar from rendering previews.</v>
      </c>
    </row>
    <row r="9">
      <c r="A9" t="str">
        <v>Structured data</v>
      </c>
      <c r="B9" t="str">
        <v>Organization on every page. Product on equipment pages with the Tier 1 spec figures. BreadcrumbList site-wide. Article on notes and case studies.</v>
      </c>
      <c r="C9" t="str">
        <v>Absent site-wide.</v>
      </c>
    </row>
    <row r="10">
      <c r="A10" t="str">
        <v>Image alt text</v>
      </c>
      <c r="B10" t="str">
        <v>Descriptive alt on every content image. Decorative images alt=''.</v>
      </c>
      <c r="C10" t="str">
        <v>8 of 8 homepage images and 9 of 9 build-to-print images currently have none.</v>
      </c>
    </row>
    <row r="11">
      <c r="A11" t="str">
        <v>URL</v>
      </c>
      <c r="B11" t="str">
        <v>Lower case, hyphenated, no .php, no query strings. Trailing slash consistent.</v>
      </c>
      <c r="C11" t="str">
        <v>Current site uses .php extensions throughout - 301 map required.</v>
      </c>
    </row>
    <row r="12">
      <c r="A12" t="str">
        <v>Language</v>
      </c>
      <c r="B12" t="str">
        <v>lang='en' present. Add hreflang only if a Romanian version is built.</v>
      </c>
      <c r="C12" t="str">
        <v>lang is already correct.</v>
      </c>
    </row>
    <row r="13">
      <c r="A13" t="str">
        <v>Sitemap</v>
      </c>
      <c r="B13" t="str">
        <v>Regenerate against https and the chosen host. Declare in robots.txt. Include news once migrated.</v>
      </c>
      <c r="C13" t="str">
        <v>Current sitemap.xml lists 39 URLs on http://romica.co.uk - wrong protocol and wrong host.</v>
      </c>
    </row>
    <row r="14">
      <c r="A14" t="str">
        <v>robots.txt</v>
      </c>
      <c r="B14" t="str">
        <v>Allow the site. Disallow /resources/datasheets/ file paths. Exclude AI training crawlers. Declare the sitemap.</v>
      </c>
      <c r="C14" t="str">
        <v>Currently a single line, 'User-agent: *', with no directives at all.</v>
      </c>
    </row>
    <row r="16">
      <c r="A16" t="str">
        <v>TERMINOLOGY DECISION</v>
      </c>
    </row>
    <row r="17">
      <c r="A17" t="str">
        <v>Use 'Sectors' at top level</v>
      </c>
      <c r="B17" t="str">
        <v>The market a buyer identifies with: offshore wind, oceanographic research, defence. This is how buyers describe themselves.</v>
      </c>
      <c r="C17" t="str">
        <v>Replaces the current SECTORS menu, which confusingly contains delivery models rather than sectors.</v>
      </c>
    </row>
    <row r="18">
      <c r="A18" t="str">
        <v>Use 'Applications' as a facet</v>
      </c>
      <c r="B18" t="str">
        <v>What the equipment is used for: CPT deployment, piston coring, ROV launch, cable lay. Shown as a cross-cut on equipment pages only.</v>
      </c>
      <c r="C18" t="str">
        <v>Both terms are correct for different things. Using each properly avoids the current confusion.</v>
      </c>
    </row>
    <row r="19">
      <c r="A19" t="str">
        <v>Retire 'Build to Print'</v>
      </c>
      <c r="B19" t="str">
        <v>Externally. It reads as 'fabrication shop' and undersells tiers 2 to 4. Use 'Contract Manufacturing'.</v>
      </c>
      <c r="C19" t="str">
        <v>Internal shorthand may remain.</v>
      </c>
    </row>
  </sheetData>
  <pageMargins left="0.75" right="0.75" top="1" bottom="1" header="0.511811023622047" footer="0.511811023622047"/>
  <ignoredErrors>
    <ignoredError numberStoredAsText="1" sqref="A1:C19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F54"/>
  <sheetViews>
    <sheetView workbookViewId="0" rightToLeft="0"/>
  </sheetViews>
  <sheetData>
    <row r="1">
      <c r="A1" t="str">
        <v>Keyword</v>
      </c>
      <c r="B1" t="str">
        <v>Avatar</v>
      </c>
      <c r="C1" t="str">
        <v>Intent</v>
      </c>
      <c r="D1" t="str">
        <v>Target page ID</v>
      </c>
      <c r="E1" t="str">
        <v>Priority</v>
      </c>
      <c r="F1" t="str">
        <v>Current RTG coverage</v>
      </c>
    </row>
    <row r="2">
      <c r="A2" t="str">
        <v>winch refurbishment</v>
      </c>
      <c r="B2" t="str">
        <v>AV01</v>
      </c>
      <c r="C2" t="str">
        <v>Commercial</v>
      </c>
      <c r="D2" t="str">
        <v>L-01</v>
      </c>
      <c r="E2" t="str">
        <v>High</v>
      </c>
      <c r="F2" t="str">
        <v>None today - RTG has no refurbishment page at all</v>
      </c>
    </row>
    <row r="3">
      <c r="A3" t="str">
        <v>deck machinery overhaul</v>
      </c>
      <c r="B3" t="str">
        <v>AV01</v>
      </c>
      <c r="C3" t="str">
        <v>Commercial</v>
      </c>
      <c r="D3" t="str">
        <v>L-01</v>
      </c>
      <c r="E3" t="str">
        <v>High</v>
      </c>
      <c r="F3" t="str">
        <v>None</v>
      </c>
    </row>
    <row r="4">
      <c r="A4" t="str">
        <v>marine winch rebuild</v>
      </c>
      <c r="B4" t="str">
        <v>AV01</v>
      </c>
      <c r="C4" t="str">
        <v>Commercial</v>
      </c>
      <c r="D4" t="str">
        <v>L-01</v>
      </c>
      <c r="E4" t="str">
        <v>Medium</v>
      </c>
      <c r="F4" t="str">
        <v>None</v>
      </c>
    </row>
    <row r="5">
      <c r="A5" t="str">
        <v>LARS refurbishment</v>
      </c>
      <c r="B5" t="str">
        <v>AV01</v>
      </c>
      <c r="C5" t="str">
        <v>Commercial</v>
      </c>
      <c r="D5" t="str">
        <v>L-01</v>
      </c>
      <c r="E5" t="str">
        <v>Medium</v>
      </c>
      <c r="F5" t="str">
        <v>None</v>
      </c>
    </row>
    <row r="6">
      <c r="A6" t="str">
        <v>winch condition assessment</v>
      </c>
      <c r="B6" t="str">
        <v>AV01</v>
      </c>
      <c r="C6" t="str">
        <v>Commercial</v>
      </c>
      <c r="D6" t="str">
        <v>L-02</v>
      </c>
      <c r="E6" t="str">
        <v>Medium</v>
      </c>
      <c r="F6" t="str">
        <v>None</v>
      </c>
    </row>
    <row r="7">
      <c r="A7" t="str">
        <v>deck equipment recertification</v>
      </c>
      <c r="B7" t="str">
        <v>AV01</v>
      </c>
      <c r="C7" t="str">
        <v>Commercial</v>
      </c>
      <c r="D7" t="str">
        <v>L-03</v>
      </c>
      <c r="E7" t="str">
        <v>Medium</v>
      </c>
      <c r="F7" t="str">
        <v>None</v>
      </c>
    </row>
    <row r="8">
      <c r="A8" t="str">
        <v>geotechnical handling system</v>
      </c>
      <c r="B8" t="str">
        <v>AV01</v>
      </c>
      <c r="C8" t="str">
        <v>Commercial</v>
      </c>
      <c r="D8" t="str">
        <v>S-02</v>
      </c>
      <c r="E8" t="str">
        <v>High</v>
      </c>
      <c r="F8" t="str">
        <v>Weak - buried product page</v>
      </c>
    </row>
    <row r="9">
      <c r="A9" t="str">
        <v>CPT winch</v>
      </c>
      <c r="B9" t="str">
        <v>AV01</v>
      </c>
      <c r="C9" t="str">
        <v>Commercial</v>
      </c>
      <c r="D9" t="str">
        <v>S-02</v>
      </c>
      <c r="E9" t="str">
        <v>High</v>
      </c>
      <c r="F9" t="str">
        <v>Weak</v>
      </c>
    </row>
    <row r="10">
      <c r="A10" t="str">
        <v>corer handling system</v>
      </c>
      <c r="B10" t="str">
        <v>AV01</v>
      </c>
      <c r="C10" t="str">
        <v>Commercial</v>
      </c>
      <c r="D10" t="str">
        <v>E-02</v>
      </c>
      <c r="E10" t="str">
        <v>High</v>
      </c>
      <c r="F10" t="str">
        <v>Page exists but is empty</v>
      </c>
    </row>
    <row r="11">
      <c r="A11" t="str">
        <v>tension control winch</v>
      </c>
      <c r="B11" t="str">
        <v>AV01</v>
      </c>
      <c r="C11" t="str">
        <v>Technical</v>
      </c>
      <c r="D11" t="str">
        <v>S-02</v>
      </c>
      <c r="E11" t="str">
        <v>High</v>
      </c>
      <c r="F11" t="str">
        <v>Exists, undertitled</v>
      </c>
    </row>
    <row r="12">
      <c r="A12" t="str">
        <v>oceanographic winch</v>
      </c>
      <c r="B12" t="str">
        <v>AV01</v>
      </c>
      <c r="C12" t="str">
        <v>Commercial</v>
      </c>
      <c r="D12" t="str">
        <v>E-03</v>
      </c>
      <c r="E12" t="str">
        <v>High</v>
      </c>
      <c r="F12" t="str">
        <v>Exists, undertitled</v>
      </c>
    </row>
    <row r="13">
      <c r="A13" t="str">
        <v>CTD winch</v>
      </c>
      <c r="B13" t="str">
        <v>AV01</v>
      </c>
      <c r="C13" t="str">
        <v>Commercial</v>
      </c>
      <c r="D13" t="str">
        <v>E-03</v>
      </c>
      <c r="E13" t="str">
        <v>High</v>
      </c>
      <c r="F13" t="str">
        <v>Weak</v>
      </c>
    </row>
    <row r="14">
      <c r="A14" t="str">
        <v>hydrographic survey winch</v>
      </c>
      <c r="B14" t="str">
        <v>AV01</v>
      </c>
      <c r="C14" t="str">
        <v>Commercial</v>
      </c>
      <c r="D14" t="str">
        <v>S-01</v>
      </c>
      <c r="E14" t="str">
        <v>High</v>
      </c>
      <c r="F14" t="str">
        <v>None</v>
      </c>
    </row>
    <row r="15">
      <c r="A15" t="str">
        <v>ROV launch and recovery system</v>
      </c>
      <c r="B15" t="str">
        <v>AV01</v>
      </c>
      <c r="C15" t="str">
        <v>Commercial</v>
      </c>
      <c r="D15" t="str">
        <v>S-06</v>
      </c>
      <c r="E15" t="str">
        <v>High</v>
      </c>
      <c r="F15" t="str">
        <v>Weak</v>
      </c>
    </row>
    <row r="16">
      <c r="A16" t="str">
        <v>umbilical winch</v>
      </c>
      <c r="B16" t="str">
        <v>AV01</v>
      </c>
      <c r="C16" t="str">
        <v>Commercial</v>
      </c>
      <c r="D16" t="str">
        <v>E-05</v>
      </c>
      <c r="E16" t="str">
        <v>Medium</v>
      </c>
      <c r="F16" t="str">
        <v>Exists</v>
      </c>
    </row>
    <row r="17">
      <c r="A17" t="str">
        <v>deep tow winch</v>
      </c>
      <c r="B17" t="str">
        <v>AV01</v>
      </c>
      <c r="C17" t="str">
        <v>Commercial</v>
      </c>
      <c r="D17" t="str">
        <v>E-05</v>
      </c>
      <c r="E17" t="str">
        <v>Medium</v>
      </c>
      <c r="F17" t="str">
        <v>Page exists but is empty</v>
      </c>
    </row>
    <row r="18">
      <c r="A18" t="str">
        <v>launch and recovery system</v>
      </c>
      <c r="B18" t="str">
        <v>AV01</v>
      </c>
      <c r="C18" t="str">
        <v>Commercial</v>
      </c>
      <c r="D18" t="str">
        <v>E-07</v>
      </c>
      <c r="E18" t="str">
        <v>High</v>
      </c>
      <c r="F18" t="str">
        <v>Exists, undertitled</v>
      </c>
    </row>
    <row r="19">
      <c r="A19" t="str">
        <v>A-frame stern vessel</v>
      </c>
      <c r="B19" t="str">
        <v>AV01</v>
      </c>
      <c r="C19" t="str">
        <v>Commercial</v>
      </c>
      <c r="D19" t="str">
        <v>E-07</v>
      </c>
      <c r="E19" t="str">
        <v>Medium</v>
      </c>
      <c r="F19" t="str">
        <v>Exists</v>
      </c>
    </row>
    <row r="20">
      <c r="A20" t="str">
        <v>containerised winch system</v>
      </c>
      <c r="B20" t="str">
        <v>AV01</v>
      </c>
      <c r="C20" t="str">
        <v>Commercial</v>
      </c>
      <c r="D20" t="str">
        <v>E-12</v>
      </c>
      <c r="E20" t="str">
        <v>Medium</v>
      </c>
      <c r="F20" t="str">
        <v>None</v>
      </c>
    </row>
    <row r="21">
      <c r="A21" t="str">
        <v>portable survey spread</v>
      </c>
      <c r="B21" t="str">
        <v>AV01</v>
      </c>
      <c r="C21" t="str">
        <v>Commercial</v>
      </c>
      <c r="D21" t="str">
        <v>E-12</v>
      </c>
      <c r="E21" t="str">
        <v>Low</v>
      </c>
      <c r="F21" t="str">
        <v>None</v>
      </c>
    </row>
    <row r="22">
      <c r="A22" t="str">
        <v>subsea cable tensioner</v>
      </c>
      <c r="B22" t="str">
        <v>AV01</v>
      </c>
      <c r="C22" t="str">
        <v>Commercial</v>
      </c>
      <c r="D22" t="str">
        <v>E-10</v>
      </c>
      <c r="E22" t="str">
        <v>High</v>
      </c>
      <c r="F22" t="str">
        <v>Exists, undertitled</v>
      </c>
    </row>
    <row r="23">
      <c r="A23" t="str">
        <v>cable laying equipment</v>
      </c>
      <c r="B23" t="str">
        <v>AV01</v>
      </c>
      <c r="C23" t="str">
        <v>Commercial</v>
      </c>
      <c r="D23" t="str">
        <v>S-03</v>
      </c>
      <c r="E23" t="str">
        <v>High</v>
      </c>
      <c r="F23" t="str">
        <v>Weak</v>
      </c>
    </row>
    <row r="24">
      <c r="A24" t="str">
        <v>contract manufacturing marine equipment</v>
      </c>
      <c r="B24" t="str">
        <v>AV02</v>
      </c>
      <c r="C24" t="str">
        <v>Commercial</v>
      </c>
      <c r="D24" t="str">
        <v>C-00</v>
      </c>
      <c r="E24" t="str">
        <v>High</v>
      </c>
      <c r="F24" t="str">
        <v>None - site says 'build to print'</v>
      </c>
    </row>
    <row r="25">
      <c r="A25" t="str">
        <v>outsourced deck machinery manufacture</v>
      </c>
      <c r="B25" t="str">
        <v>AV02</v>
      </c>
      <c r="C25" t="str">
        <v>Commercial</v>
      </c>
      <c r="D25" t="str">
        <v>C-00</v>
      </c>
      <c r="E25" t="str">
        <v>High</v>
      </c>
      <c r="F25" t="str">
        <v>None</v>
      </c>
    </row>
    <row r="26">
      <c r="A26" t="str">
        <v>subcontract winch manufacture</v>
      </c>
      <c r="B26" t="str">
        <v>AV02</v>
      </c>
      <c r="C26" t="str">
        <v>Commercial</v>
      </c>
      <c r="D26" t="str">
        <v>C-00</v>
      </c>
      <c r="E26" t="str">
        <v>Medium</v>
      </c>
      <c r="F26" t="str">
        <v>None</v>
      </c>
    </row>
    <row r="27">
      <c r="A27" t="str">
        <v>certified structural fabrication</v>
      </c>
      <c r="B27" t="str">
        <v>AV02</v>
      </c>
      <c r="C27" t="str">
        <v>Commercial</v>
      </c>
      <c r="D27" t="str">
        <v>C-01</v>
      </c>
      <c r="E27" t="str">
        <v>High</v>
      </c>
      <c r="F27" t="str">
        <v>Exists as 'welding'</v>
      </c>
    </row>
    <row r="28">
      <c r="A28" t="str">
        <v>EN ISO 3834 fabricator</v>
      </c>
      <c r="B28" t="str">
        <v>AV02</v>
      </c>
      <c r="C28" t="str">
        <v>Trust</v>
      </c>
      <c r="D28" t="str">
        <v>Y-03</v>
      </c>
      <c r="E28" t="str">
        <v>Medium</v>
      </c>
      <c r="F28" t="str">
        <v>Mentioned, not targeted</v>
      </c>
    </row>
    <row r="29">
      <c r="A29" t="str">
        <v>coded welding services</v>
      </c>
      <c r="B29" t="str">
        <v>AV02</v>
      </c>
      <c r="C29" t="str">
        <v>Commercial</v>
      </c>
      <c r="D29" t="str">
        <v>C-01</v>
      </c>
      <c r="E29" t="str">
        <v>Medium</v>
      </c>
      <c r="F29" t="str">
        <v>Weak</v>
      </c>
    </row>
    <row r="30">
      <c r="A30" t="str">
        <v>hydraulic pipework fabrication</v>
      </c>
      <c r="B30" t="str">
        <v>AV02</v>
      </c>
      <c r="C30" t="str">
        <v>Commercial</v>
      </c>
      <c r="D30" t="str">
        <v>C-03</v>
      </c>
      <c r="E30" t="str">
        <v>Medium</v>
      </c>
      <c r="F30" t="str">
        <v>None</v>
      </c>
    </row>
    <row r="31">
      <c r="A31" t="str">
        <v>control panel build marine</v>
      </c>
      <c r="B31" t="str">
        <v>AV02</v>
      </c>
      <c r="C31" t="str">
        <v>Commercial</v>
      </c>
      <c r="D31" t="str">
        <v>C-03</v>
      </c>
      <c r="E31" t="str">
        <v>Medium</v>
      </c>
      <c r="F31" t="str">
        <v>None</v>
      </c>
    </row>
    <row r="32">
      <c r="A32" t="str">
        <v>factory acceptance testing marine equipment</v>
      </c>
      <c r="B32" t="str">
        <v>AV02</v>
      </c>
      <c r="C32" t="str">
        <v>Trust</v>
      </c>
      <c r="D32" t="str">
        <v>C-04</v>
      </c>
      <c r="E32" t="str">
        <v>High</v>
      </c>
      <c r="F32" t="str">
        <v>Page exists but is empty</v>
      </c>
    </row>
    <row r="33">
      <c r="A33" t="str">
        <v>load testing 150 tonnes</v>
      </c>
      <c r="B33" t="str">
        <v>AV02</v>
      </c>
      <c r="C33" t="str">
        <v>Trust</v>
      </c>
      <c r="D33" t="str">
        <v>P-06</v>
      </c>
      <c r="E33" t="str">
        <v>Medium</v>
      </c>
      <c r="F33" t="str">
        <v>Mentioned only</v>
      </c>
    </row>
    <row r="34">
      <c r="A34" t="str">
        <v>class witnessed testing</v>
      </c>
      <c r="B34" t="str">
        <v>AV02</v>
      </c>
      <c r="C34" t="str">
        <v>Trust</v>
      </c>
      <c r="D34" t="str">
        <v>P-06</v>
      </c>
      <c r="E34" t="str">
        <v>Medium</v>
      </c>
      <c r="F34" t="str">
        <v>None</v>
      </c>
    </row>
    <row r="35">
      <c r="A35" t="str">
        <v>PLC commissioning offshore equipment</v>
      </c>
      <c r="B35" t="str">
        <v>AV02</v>
      </c>
      <c r="C35" t="str">
        <v>Commercial</v>
      </c>
      <c r="D35" t="str">
        <v>C-04</v>
      </c>
      <c r="E35" t="str">
        <v>Medium</v>
      </c>
      <c r="F35" t="str">
        <v>None</v>
      </c>
    </row>
    <row r="36">
      <c r="A36" t="str">
        <v>EU origin steel fabrication</v>
      </c>
      <c r="B36" t="str">
        <v>AV02</v>
      </c>
      <c r="C36" t="str">
        <v>Commercial</v>
      </c>
      <c r="D36" t="str">
        <v>C-07</v>
      </c>
      <c r="E36" t="str">
        <v>Medium</v>
      </c>
      <c r="F36" t="str">
        <v>None</v>
      </c>
    </row>
    <row r="37">
      <c r="A37" t="str">
        <v>melt and pour documentation</v>
      </c>
      <c r="B37" t="str">
        <v>AV02</v>
      </c>
      <c r="C37" t="str">
        <v>Compliance</v>
      </c>
      <c r="D37" t="str">
        <v>C-07</v>
      </c>
      <c r="E37" t="str">
        <v>Low</v>
      </c>
      <c r="F37" t="str">
        <v>None</v>
      </c>
    </row>
    <row r="38">
      <c r="A38" t="str">
        <v>NDA fabrication IP protection</v>
      </c>
      <c r="B38" t="str">
        <v>AV02</v>
      </c>
      <c r="C38" t="str">
        <v>Trust</v>
      </c>
      <c r="D38" t="str">
        <v>C-06</v>
      </c>
      <c r="E38" t="str">
        <v>Low</v>
      </c>
      <c r="F38" t="str">
        <v>None</v>
      </c>
    </row>
    <row r="39">
      <c r="A39" t="str">
        <v>shipyard subcontract fabrication</v>
      </c>
      <c r="B39" t="str">
        <v>AV03</v>
      </c>
      <c r="C39" t="str">
        <v>Commercial</v>
      </c>
      <c r="D39" t="str">
        <v>Y-01</v>
      </c>
      <c r="E39" t="str">
        <v>High</v>
      </c>
      <c r="F39" t="str">
        <v>None</v>
      </c>
    </row>
    <row r="40">
      <c r="A40" t="str">
        <v>marine steel subcontractor</v>
      </c>
      <c r="B40" t="str">
        <v>AV03</v>
      </c>
      <c r="C40" t="str">
        <v>Commercial</v>
      </c>
      <c r="D40" t="str">
        <v>Y-01</v>
      </c>
      <c r="E40" t="str">
        <v>High</v>
      </c>
      <c r="F40" t="str">
        <v>Weak</v>
      </c>
    </row>
    <row r="41">
      <c r="A41" t="str">
        <v>sea fastening fabrication</v>
      </c>
      <c r="B41" t="str">
        <v>AV03</v>
      </c>
      <c r="C41" t="str">
        <v>Commercial</v>
      </c>
      <c r="D41" t="str">
        <v>Y-01</v>
      </c>
      <c r="E41" t="str">
        <v>Medium</v>
      </c>
      <c r="F41" t="str">
        <v>None</v>
      </c>
    </row>
    <row r="42">
      <c r="A42" t="str">
        <v>approved fabricator shipyard</v>
      </c>
      <c r="B42" t="str">
        <v>AV03</v>
      </c>
      <c r="C42" t="str">
        <v>Trust</v>
      </c>
      <c r="D42" t="str">
        <v>Y-03</v>
      </c>
      <c r="E42" t="str">
        <v>High</v>
      </c>
      <c r="F42" t="str">
        <v>None</v>
      </c>
    </row>
    <row r="43">
      <c r="A43" t="str">
        <v>Bureau Veritas Mode II workshop</v>
      </c>
      <c r="B43" t="str">
        <v>AV03</v>
      </c>
      <c r="C43" t="str">
        <v>Trust</v>
      </c>
      <c r="D43" t="str">
        <v>Y-03</v>
      </c>
      <c r="E43" t="str">
        <v>Low</v>
      </c>
      <c r="F43" t="str">
        <v>Mentioned, not targeted</v>
      </c>
    </row>
    <row r="44">
      <c r="A44" t="str">
        <v>ISO 9606 welder qualification</v>
      </c>
      <c r="B44" t="str">
        <v>AV03</v>
      </c>
      <c r="C44" t="str">
        <v>Trust</v>
      </c>
      <c r="D44" t="str">
        <v>Y-03</v>
      </c>
      <c r="E44" t="str">
        <v>Low</v>
      </c>
      <c r="F44" t="str">
        <v>Mentioned</v>
      </c>
    </row>
    <row r="45">
      <c r="A45" t="str">
        <v>newbuild vessel deck machinery</v>
      </c>
      <c r="B45" t="str">
        <v>AV03</v>
      </c>
      <c r="C45" t="str">
        <v>Commercial</v>
      </c>
      <c r="D45" t="str">
        <v>Y-02</v>
      </c>
      <c r="E45" t="str">
        <v>Medium</v>
      </c>
      <c r="F45" t="str">
        <v>None</v>
      </c>
    </row>
    <row r="46">
      <c r="A46" t="str">
        <v>winch line pull layers explained</v>
      </c>
      <c r="B46" t="str">
        <v>ALL</v>
      </c>
      <c r="C46" t="str">
        <v>Informational</v>
      </c>
      <c r="D46" t="str">
        <v>R-00</v>
      </c>
      <c r="E46" t="str">
        <v>Medium</v>
      </c>
      <c r="F46" t="str">
        <v>None - strong content opportunity</v>
      </c>
    </row>
    <row r="47">
      <c r="A47" t="str">
        <v>Lebus grooving explained</v>
      </c>
      <c r="B47" t="str">
        <v>ALL</v>
      </c>
      <c r="C47" t="str">
        <v>Informational</v>
      </c>
      <c r="D47" t="str">
        <v>R-00</v>
      </c>
      <c r="E47" t="str">
        <v>Low</v>
      </c>
      <c r="F47" t="str">
        <v>None</v>
      </c>
    </row>
    <row r="48">
      <c r="A48" t="str">
        <v>render test winch</v>
      </c>
      <c r="B48" t="str">
        <v>ALL</v>
      </c>
      <c r="C48" t="str">
        <v>Informational</v>
      </c>
      <c r="D48" t="str">
        <v>R-00</v>
      </c>
      <c r="E48" t="str">
        <v>Low</v>
      </c>
      <c r="F48" t="str">
        <v>None</v>
      </c>
    </row>
    <row r="49">
      <c r="A49" t="str">
        <v>squeeze tension vs line tension</v>
      </c>
      <c r="B49" t="str">
        <v>ALL</v>
      </c>
      <c r="C49" t="str">
        <v>Informational</v>
      </c>
      <c r="D49" t="str">
        <v>R-00</v>
      </c>
      <c r="E49" t="str">
        <v>Low</v>
      </c>
      <c r="F49" t="str">
        <v>None</v>
      </c>
    </row>
    <row r="50">
      <c r="A50" t="str">
        <v>lead off angle winch</v>
      </c>
      <c r="B50" t="str">
        <v>ALL</v>
      </c>
      <c r="C50" t="str">
        <v>Informational</v>
      </c>
      <c r="D50" t="str">
        <v>R-00</v>
      </c>
      <c r="E50" t="str">
        <v>Low</v>
      </c>
      <c r="F50" t="str">
        <v>None</v>
      </c>
    </row>
    <row r="51">
      <c r="A51" t="str">
        <v>deck loading calculation winch</v>
      </c>
      <c r="B51" t="str">
        <v>ALL</v>
      </c>
      <c r="C51" t="str">
        <v>Informational</v>
      </c>
      <c r="D51" t="str">
        <v>R-00</v>
      </c>
      <c r="E51" t="str">
        <v>Medium</v>
      </c>
      <c r="F51" t="str">
        <v>None</v>
      </c>
    </row>
    <row r="52">
      <c r="A52" t="str">
        <v>engineering jobs Satu Mare</v>
      </c>
      <c r="B52" t="str">
        <v>ALL</v>
      </c>
      <c r="C52" t="str">
        <v>Recruitment</v>
      </c>
      <c r="D52" t="str">
        <v>A-05</v>
      </c>
      <c r="E52" t="str">
        <v>Medium</v>
      </c>
      <c r="F52" t="str">
        <v>None - and welder retention is a live risk</v>
      </c>
    </row>
    <row r="54">
      <c r="A54" t="str">
        <v>High-priority keywords with no coverage today:</v>
      </c>
      <c r="E54">
        <f>COUNTIFS(E2:E52,"High",F2:F52,"None*")</f>
        <v>7</v>
      </c>
    </row>
  </sheetData>
  <autoFilter ref="A1:F52"/>
  <pageMargins left="0.75" right="0.75" top="1" bottom="1" header="0.511811023622047" footer="0.511811023622047"/>
  <ignoredErrors>
    <ignoredError numberStoredAsText="1" sqref="A1:F54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F27"/>
  <sheetViews>
    <sheetView workbookViewId="0" rightToLeft="0"/>
  </sheetViews>
  <sheetData>
    <row r="1">
      <c r="A1" t="str">
        <v>Ref</v>
      </c>
      <c r="B1" t="str">
        <v>Use</v>
      </c>
      <c r="C1" t="str">
        <v>Direction</v>
      </c>
      <c r="D1" t="str">
        <v>Format</v>
      </c>
      <c r="E1" t="str">
        <v>Where it comes from</v>
      </c>
      <c r="F1" t="str">
        <v>Pri</v>
      </c>
    </row>
    <row r="2">
      <c r="A2" t="str">
        <v>IMG-01</v>
      </c>
      <c r="B2" t="str">
        <v>Homepage hero</v>
      </c>
      <c r="C2" t="str">
        <v>Winch or LARS working on deck at sea, crew member in shot for scale, real sea state</v>
      </c>
      <c r="D2" t="str">
        <v>Landscape 2400x1200</v>
      </c>
      <c r="E2" t="str">
        <v>Satu Mare cannot supply this - needs a client vessel or an archive frame</v>
      </c>
      <c r="F2" t="str">
        <v>P1</v>
      </c>
    </row>
    <row r="3">
      <c r="A3" t="str">
        <v>IMG-02</v>
      </c>
      <c r="B3" t="str">
        <v>Sector: geotechnical</v>
      </c>
      <c r="C3" t="str">
        <v>Corer or CPT unit being recovered, wire under visible tension</v>
      </c>
      <c r="D3" t="str">
        <v>Landscape 1600x900</v>
      </c>
      <c r="E3" t="str">
        <v>Client vessel or archive</v>
      </c>
      <c r="F3" t="str">
        <v>P1</v>
      </c>
    </row>
    <row r="4">
      <c r="A4" t="str">
        <v>IMG-03</v>
      </c>
      <c r="B4" t="str">
        <v>Sector: survey</v>
      </c>
      <c r="C4" t="str">
        <v>Towfish or CTD going over the stern through an A-frame</v>
      </c>
      <c r="D4" t="str">
        <v>Landscape 1600x900</v>
      </c>
      <c r="E4" t="str">
        <v>Client vessel or archive</v>
      </c>
      <c r="F4" t="str">
        <v>P1</v>
      </c>
    </row>
    <row r="5">
      <c r="A5" t="str">
        <v>IMG-04</v>
      </c>
      <c r="B5" t="str">
        <v>Sector: wind and cable</v>
      </c>
      <c r="C5" t="str">
        <v>Tensioner on deck with cable running, or a cable carousel</v>
      </c>
      <c r="D5" t="str">
        <v>Landscape 1600x900</v>
      </c>
      <c r="E5" t="str">
        <v>Client vessel or archive</v>
      </c>
      <c r="F5" t="str">
        <v>P1</v>
      </c>
    </row>
    <row r="6">
      <c r="A6" t="str">
        <v>IMG-05</v>
      </c>
      <c r="B6" t="str">
        <v>Equipment: grooved drum</v>
      </c>
      <c r="C6" t="str">
        <v>Close, shallow depth of field, Lebus grooving clearly legible</v>
      </c>
      <c r="D6" t="str">
        <v>Landscape 1600x900</v>
      </c>
      <c r="E6" t="str">
        <v>Satu Mare - shoot on the shop floor</v>
      </c>
      <c r="F6" t="str">
        <v>P1</v>
      </c>
    </row>
    <row r="7">
      <c r="A7" t="str">
        <v>IMG-06</v>
      </c>
      <c r="B7" t="str">
        <v>Equipment: level wind</v>
      </c>
      <c r="C7" t="str">
        <v>Level wind assembly, ideally mid-motion at low speed</v>
      </c>
      <c r="D7" t="str">
        <v>Landscape + 20s video</v>
      </c>
      <c r="E7" t="str">
        <v>Satu Mare</v>
      </c>
      <c r="F7" t="str">
        <v>P1</v>
      </c>
    </row>
    <row r="8">
      <c r="A8" t="str">
        <v>IMG-07</v>
      </c>
      <c r="B8" t="str">
        <v>Test facility</v>
      </c>
      <c r="C8" t="str">
        <v>Machine under load on the stand, certified weights and instruments visible</v>
      </c>
      <c r="D8" t="str">
        <v>Landscape 2000x1125 + video</v>
      </c>
      <c r="E8" t="str">
        <v>Satu Mare - the single most valuable asset to shoot</v>
      </c>
      <c r="F8" t="str">
        <v>P1</v>
      </c>
    </row>
    <row r="9">
      <c r="A9" t="str">
        <v>IMG-08</v>
      </c>
      <c r="B9" t="str">
        <v>Welding</v>
      </c>
      <c r="C9" t="str">
        <v>Welder at work, arc light, correct PPE, honest not staged</v>
      </c>
      <c r="D9" t="str">
        <v>Portrait and landscape</v>
      </c>
      <c r="E9" t="str">
        <v>Satu Mare</v>
      </c>
      <c r="F9" t="str">
        <v>P1</v>
      </c>
    </row>
    <row r="10">
      <c r="A10" t="str">
        <v>IMG-09</v>
      </c>
      <c r="B10" t="str">
        <v>Weld traceability</v>
      </c>
      <c r="C10" t="str">
        <v>Punch mark or weld map close-up, stamped numbers legible</v>
      </c>
      <c r="D10" t="str">
        <v>Macro 1600x1600</v>
      </c>
      <c r="E10" t="str">
        <v>Satu Mare - proves the traceability claim visually</v>
      </c>
      <c r="F10" t="str">
        <v>P1</v>
      </c>
    </row>
    <row r="11">
      <c r="A11" t="str">
        <v>IMG-10</v>
      </c>
      <c r="B11" t="str">
        <v>NDT inspection</v>
      </c>
      <c r="C11" t="str">
        <v>UT or MPI inspection in progress</v>
      </c>
      <c r="D11" t="str">
        <v>Landscape 1600x900</v>
      </c>
      <c r="E11" t="str">
        <v>Satu Mare</v>
      </c>
      <c r="F11" t="str">
        <v>P2</v>
      </c>
    </row>
    <row r="12">
      <c r="A12" t="str">
        <v>IMG-11</v>
      </c>
      <c r="B12" t="str">
        <v>Machining</v>
      </c>
      <c r="C12" t="str">
        <v>Large part on the CNC bed, scale evident against a person</v>
      </c>
      <c r="D12" t="str">
        <v>Landscape 2000x1125</v>
      </c>
      <c r="E12" t="str">
        <v>Satu Mare</v>
      </c>
      <c r="F12" t="str">
        <v>P1</v>
      </c>
    </row>
    <row r="13">
      <c r="A13" t="str">
        <v>IMG-12</v>
      </c>
      <c r="B13" t="str">
        <v>Mechanical assembly</v>
      </c>
      <c r="C13" t="str">
        <v>Drum and shaft being lowered into bearings, crane or hoist in frame</v>
      </c>
      <c r="D13" t="str">
        <v>Landscape 1600x900</v>
      </c>
      <c r="E13" t="str">
        <v>Satu Mare - evidence for Tier 2</v>
      </c>
      <c r="F13" t="str">
        <v>P1</v>
      </c>
    </row>
    <row r="14">
      <c r="A14" t="str">
        <v>IMG-13</v>
      </c>
      <c r="B14" t="str">
        <v>Hydraulic build</v>
      </c>
      <c r="C14" t="str">
        <v>Pipework and manifolds, clean and ordered, flushing rig if possible</v>
      </c>
      <c r="D14" t="str">
        <v>Landscape 1600x900</v>
      </c>
      <c r="E14" t="str">
        <v>Satu Mare - evidence for Tier 3, currently no imagery exists</v>
      </c>
      <c r="F14" t="str">
        <v>P1</v>
      </c>
    </row>
    <row r="15">
      <c r="A15" t="str">
        <v>IMG-14</v>
      </c>
      <c r="B15" t="str">
        <v>Electrical build</v>
      </c>
      <c r="C15" t="str">
        <v>Control panel being wired, terminations and labelling visible</v>
      </c>
      <c r="D15" t="str">
        <v>Landscape 1600x900</v>
      </c>
      <c r="E15" t="str">
        <v>Satu Mare - evidence for Tier 3</v>
      </c>
      <c r="F15" t="str">
        <v>P1</v>
      </c>
    </row>
    <row r="16">
      <c r="A16" t="str">
        <v>IMG-15</v>
      </c>
      <c r="B16" t="str">
        <v>Automation</v>
      </c>
      <c r="C16" t="str">
        <v>HMI screen live during function testing, engineer at the console</v>
      </c>
      <c r="D16" t="str">
        <v>Landscape 1600x900</v>
      </c>
      <c r="E16" t="str">
        <v>Satu Mare - evidence for Tier 4</v>
      </c>
      <c r="F16" t="str">
        <v>P1</v>
      </c>
    </row>
    <row r="17">
      <c r="A17" t="str">
        <v>IMG-16</v>
      </c>
      <c r="B17" t="str">
        <v>Refurbishment before/after</v>
      </c>
      <c r="C17" t="str">
        <v>Same machine, same angle, before and after. Matched framing is essential</v>
      </c>
      <c r="D17" t="str">
        <v>Two matched landscapes</v>
      </c>
      <c r="E17" t="str">
        <v>Satu Mare archive - check 21REL-05 records</v>
      </c>
      <c r="F17" t="str">
        <v>P1</v>
      </c>
    </row>
    <row r="18">
      <c r="A18" t="str">
        <v>IMG-17</v>
      </c>
      <c r="B18" t="str">
        <v>Containerised spread</v>
      </c>
      <c r="C18" t="str">
        <v>Skid or container being craned, slings and certified lugs visible</v>
      </c>
      <c r="D18" t="str">
        <v>Landscape 1600x900</v>
      </c>
      <c r="E18" t="str">
        <v>Satu Mare or client site</v>
      </c>
      <c r="F18" t="str">
        <v>P1</v>
      </c>
    </row>
    <row r="19">
      <c r="A19" t="str">
        <v>IMG-18</v>
      </c>
      <c r="B19" t="str">
        <v>Shipping</v>
      </c>
      <c r="C19" t="str">
        <v>Crated machine loaded on a truck leaving the facility</v>
      </c>
      <c r="D19" t="str">
        <v>Landscape 1600x900</v>
      </c>
      <c r="E19" t="str">
        <v>Satu Mare</v>
      </c>
      <c r="F19" t="str">
        <v>P2</v>
      </c>
    </row>
    <row r="20">
      <c r="A20" t="str">
        <v>IMG-19</v>
      </c>
      <c r="B20" t="str">
        <v>Facility exterior</v>
      </c>
      <c r="C20" t="str">
        <v>The Satu Mare building, honest and unposed, ideally with activity</v>
      </c>
      <c r="D20" t="str">
        <v>Landscape 2400x1200</v>
      </c>
      <c r="E20" t="str">
        <v>Satu Mare</v>
      </c>
      <c r="F20" t="str">
        <v>P2</v>
      </c>
    </row>
    <row r="21">
      <c r="A21" t="str">
        <v>IMG-20</v>
      </c>
      <c r="B21" t="str">
        <v>Factory walk-through</v>
      </c>
      <c r="C21" t="str">
        <v>One continuous walking shot, gate to test stand, ambient sound only</v>
      </c>
      <c r="D21" t="str">
        <v>Video 60-90s</v>
      </c>
      <c r="E21" t="str">
        <v>Satu Mare - highest trust per hour spent</v>
      </c>
      <c r="F21" t="str">
        <v>P1</v>
      </c>
    </row>
    <row r="22">
      <c r="A22" t="str">
        <v>IMG-21</v>
      </c>
      <c r="B22" t="str">
        <v>Portraits</v>
      </c>
      <c r="C22" t="str">
        <v>Individual portraits: welder, design engineer, commissioning engineer, apprentice</v>
      </c>
      <c r="D22" t="str">
        <v>Portrait 1200x1500</v>
      </c>
      <c r="E22" t="str">
        <v>Satu Mare - consent required from each person</v>
      </c>
      <c r="F22" t="str">
        <v>P1</v>
      </c>
    </row>
    <row r="23">
      <c r="A23" t="str">
        <v>IMG-22</v>
      </c>
      <c r="B23" t="str">
        <v>Founders</v>
      </c>
      <c r="C23" t="str">
        <v>The founders, honest and unposed, for the About page</v>
      </c>
      <c r="D23" t="str">
        <v>Landscape 1600x900</v>
      </c>
      <c r="E23" t="str">
        <v>UK</v>
      </c>
      <c r="F23" t="str">
        <v>P2</v>
      </c>
    </row>
    <row r="24">
      <c r="A24" t="str">
        <v>IMG-23</v>
      </c>
      <c r="B24" t="str">
        <v>Isometric line drawings</v>
      </c>
      <c r="C24" t="str">
        <v>Rendered line drawings of each equipment family, consistent style, on a light ground</v>
      </c>
      <c r="D24" t="str">
        <v>Vector, published as raster</v>
      </c>
      <c r="E24" t="str">
        <v>Generated from existing Inventor models - near zero cost</v>
      </c>
      <c r="F24" t="str">
        <v>P1</v>
      </c>
    </row>
    <row r="25">
      <c r="A25" t="str">
        <v>IMG-24</v>
      </c>
      <c r="B25" t="str">
        <v>OG social cards</v>
      </c>
      <c r="C25" t="str">
        <v>1200x630 per section, brand-consistent, text legible at thumbnail size</v>
      </c>
      <c r="D25" t="str">
        <v>1200x630 x 12</v>
      </c>
      <c r="E25" t="str">
        <v>Designer to produce from the shot set</v>
      </c>
      <c r="F25" t="str">
        <v>P1</v>
      </c>
    </row>
    <row r="27">
      <c r="A27" t="str">
        <v>NOTE</v>
      </c>
      <c r="C27" t="str">
        <v>18 of these 24 can be shot in one day at Satu Mare with a brief and a photographer. Do that before the site build, not after.</v>
      </c>
    </row>
  </sheetData>
  <pageMargins left="0.75" right="0.75" top="1" bottom="1" header="0.511811023622047" footer="0.511811023622047"/>
  <ignoredErrors>
    <ignoredError numberStoredAsText="1" sqref="A1:F27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B19"/>
  <sheetViews>
    <sheetView workbookViewId="0" rightToLeft="0"/>
  </sheetViews>
  <sheetData>
    <row r="1">
      <c r="A1" t="str">
        <v>Item</v>
      </c>
      <c r="B1" t="str">
        <v>Detail</v>
      </c>
    </row>
    <row r="2">
      <c r="A2" t="str">
        <v>HOW TO USE THIS WORKBOOK</v>
      </c>
    </row>
    <row r="3">
      <c r="A3" t="str">
        <v>Page Map</v>
      </c>
      <c r="B3" t="str">
        <v>The full page inventory. Columns I to Q are the brief for the copywriter and the developer. Column V is yours to update as work completes - pick from the dropdown.</v>
      </c>
    </row>
    <row r="4">
      <c r="A4" t="str">
        <v>Len columns (J, L)</v>
      </c>
      <c r="B4" t="str">
        <v>Live character counts. Keep title tags at or under 60 and meta descriptions between 150 and 160. The totals under the table count any that breach.</v>
      </c>
    </row>
    <row r="5">
      <c r="A5" t="str">
        <v>Avatar colours</v>
      </c>
      <c r="B5" t="str">
        <v>Cream = AV01 The Operator. Blue = AV02 The Design Authority. Terracotta = AV03 The Yard and Integrator. Grey = all avatars.</v>
      </c>
    </row>
    <row r="6">
      <c r="A6" t="str">
        <v>Access</v>
      </c>
      <c r="B6" t="str">
        <v>Open = indexed and public. Gated = a form stands in front of it and the identity is captured. See the Build Specification for what is never published.</v>
      </c>
    </row>
    <row r="7">
      <c r="A7" t="str">
        <v>Priority</v>
      </c>
      <c r="B7" t="str">
        <v>P1 = build first, it either earns revenue or unblocks a sale. P2 = second phase. P3 = when time allows.</v>
      </c>
    </row>
    <row r="8">
      <c r="A8" t="str">
        <v>Source</v>
      </c>
      <c r="B8" t="str">
        <v>Rewrite = content exists on the current site and needs reworking. New = does not exist. Migrate = move from the WordPress news subsite.</v>
      </c>
    </row>
    <row r="10">
      <c r="A10" t="str">
        <v>WHAT IS DELIBERATELY NOT IN THIS WORKBOOK</v>
      </c>
    </row>
    <row r="11">
      <c r="A11" t="str">
        <v>Dimensioned GA drawings</v>
      </c>
      <c r="B11" t="str">
        <v>Never published. Issued only to a named recipient against a named project, watermarked and rasterised.</v>
      </c>
    </row>
    <row r="12">
      <c r="A12" t="str">
        <v>Internal drum proportions</v>
      </c>
      <c r="B12" t="str">
        <v>Drum core diameter, drum length and flange diameter come off the public spec tables. Publish the overall bounding envelope instead.</v>
      </c>
    </row>
    <row r="13">
      <c r="A13" t="str">
        <v>Component makes and part numbers</v>
      </c>
      <c r="B13" t="str">
        <v>Slip ring models, gearmotor manufacturers, welding machine models. Replace with generic descriptions.</v>
      </c>
    </row>
    <row r="15">
      <c r="A15" t="str">
        <v>ASSUMPTIONS IN THIS WORKBOOK</v>
      </c>
    </row>
    <row r="16">
      <c r="A16" t="str">
        <v>Keyword priority</v>
      </c>
      <c r="B16" t="str">
        <v>Assessed from RTG's product range, the avatar definitions and the August 2026 market research. It is judgement, not search volume data - commission a volume check before committing budget.</v>
      </c>
    </row>
    <row r="17">
      <c r="A17" t="str">
        <v>Word counts</v>
      </c>
      <c r="B17" t="str">
        <v>Targets for planning effort, not rules. Roughly 30,000 words in total across the site.</v>
      </c>
    </row>
    <row r="18">
      <c r="A18" t="str">
        <v>Meta descriptions</v>
      </c>
      <c r="B18" t="str">
        <v>Written here as first drafts. They are accurate to RTG's published capability but should be checked by someone who knows the current spec figures.</v>
      </c>
    </row>
    <row r="19">
      <c r="A19" t="str">
        <v>Case study content</v>
      </c>
      <c r="B19" t="str">
        <v>CS-02 draws on project 21REL-05 as described by RTG. All other case studies contain marked placeholders requiring RTG to supply real project data.</v>
      </c>
    </row>
  </sheetData>
  <pageMargins left="0.75" right="0.75" top="1" bottom="1" header="0.511811023622047" footer="0.511811023622047"/>
  <ignoredErrors>
    <ignoredError numberStoredAsText="1" sqref="A1:B19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Page Map</vt:lpstr>
      <vt:lpstr>Meta Tag Rules</vt:lpstr>
      <vt:lpstr>SEO Keywords</vt:lpstr>
      <vt:lpstr>Image Brief</vt:lpstr>
      <vt:lpstr>Legend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2026-08-10T10:41:33Z</dcterms:created>
  <dcterms:modified xsi:type="dcterms:W3CDTF">2026-08-11T07:27:59Z</dcterms:modified>
  <cp:lastModifiedBy>Mike Turner</cp:lastModifiedBy>
  <cp:revision>0</cp:revision>
  <dc:creator>openpyxl</dc:creator>
  <dc:language>en-US</dc:language>
</cp:coreProperties>
</file>