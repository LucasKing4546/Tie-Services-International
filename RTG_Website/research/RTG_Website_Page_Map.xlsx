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IKE~1.TUR\AppData\Local\Temp\Rar$DIa24040.20744\"/>
    </mc:Choice>
  </mc:AlternateContent>
  <xr:revisionPtr revIDLastSave="0" documentId="8_{95E29C0C-D0B3-46C5-80E9-38AB0E19A921}" xr6:coauthVersionLast="47" xr6:coauthVersionMax="47" xr10:uidLastSave="{00000000-0000-0000-0000-000000000000}"/>
  <bookViews>
    <workbookView xWindow="29890" yWindow="-110" windowWidth="38620" windowHeight="21100" tabRatio="500" xr2:uid="{00000000-000D-0000-FFFF-FFFF00000000}"/>
  </bookViews>
  <sheets>
    <sheet name="Page Map" sheetId="1" r:id="rId1"/>
    <sheet name="Meta Tag Rules" sheetId="2" r:id="rId2"/>
    <sheet name="SEO Keywords" sheetId="3" r:id="rId3"/>
    <sheet name="Image Brief" sheetId="4" r:id="rId4"/>
    <sheet name="Legend" sheetId="5" r:id="rId5"/>
  </sheets>
  <definedNames>
    <definedName name="_xlnm._FilterDatabase" localSheetId="0" hidden="1">'Page Map'!$A$1:$V$70</definedName>
    <definedName name="_xlnm._FilterDatabase" localSheetId="2" hidden="1">'SEO Keywords'!$A$1:$F$52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4" i="3" l="1"/>
  <c r="L73" i="1"/>
  <c r="I73" i="1"/>
  <c r="T72" i="1"/>
  <c r="H72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  <c r="L49" i="1"/>
  <c r="J49" i="1"/>
  <c r="L48" i="1"/>
  <c r="J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4" i="1"/>
  <c r="J34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J5" i="1"/>
  <c r="L4" i="1"/>
  <c r="J4" i="1"/>
  <c r="L3" i="1"/>
  <c r="J3" i="1"/>
  <c r="L2" i="1"/>
  <c r="J2" i="1"/>
</calcChain>
</file>

<file path=xl/sharedStrings.xml><?xml version="1.0" encoding="utf-8"?>
<sst xmlns="http://schemas.openxmlformats.org/spreadsheetml/2006/main" count="1884" uniqueCount="1037">
  <si>
    <t>Page ID</t>
  </si>
  <si>
    <t>Section</t>
  </si>
  <si>
    <t>Page name</t>
  </si>
  <si>
    <t>URL slug</t>
  </si>
  <si>
    <t>Template</t>
  </si>
  <si>
    <t>Avatar</t>
  </si>
  <si>
    <t>Access</t>
  </si>
  <si>
    <t>Pri</t>
  </si>
  <si>
    <t>Title tag</t>
  </si>
  <si>
    <t>Len</t>
  </si>
  <si>
    <t>Meta description</t>
  </si>
  <si>
    <t>H1</t>
  </si>
  <si>
    <t>Primary keyword</t>
  </si>
  <si>
    <t>Secondary keywords</t>
  </si>
  <si>
    <t>Schema</t>
  </si>
  <si>
    <t>OG image brief</t>
  </si>
  <si>
    <t>Key content blocks</t>
  </si>
  <si>
    <t>Primary CTA</t>
  </si>
  <si>
    <t>Words</t>
  </si>
  <si>
    <t>Source</t>
  </si>
  <si>
    <t>Status</t>
  </si>
  <si>
    <t>H-01</t>
  </si>
  <si>
    <t>Home</t>
  </si>
  <si>
    <t>Homepage</t>
  </si>
  <si>
    <t>/</t>
  </si>
  <si>
    <t>ALL</t>
  </si>
  <si>
    <t>Open</t>
  </si>
  <si>
    <t>P1</t>
  </si>
  <si>
    <t>Deck Equipment for Research &amp; Survey Vessels | RTG</t>
  </si>
  <si>
    <t>Custom winches, launch and recovery systems and deck machinery for research, survey and geotechnical vessels. Designed in the UK, built and tested in the EU.</t>
  </si>
  <si>
    <t>Deck equipment built for the work, not the brochure</t>
  </si>
  <si>
    <t>marine deck equipment manufacturer</t>
  </si>
  <si>
    <t>custom winches; launch and recovery systems; survey vessel deck machinery; deck handling equipment</t>
  </si>
  <si>
    <t>Organization</t>
  </si>
  <si>
    <t>Winch on a working deck, crew member in shot, sea state visible</t>
  </si>
  <si>
    <t>Hero; three avatar doors; three avatar strips; proof bar; testimonials; featured case study; bulletin sign-up</t>
  </si>
  <si>
    <t>Three doors (choose your route)</t>
  </si>
  <si>
    <t>Rewrite</t>
  </si>
  <si>
    <t>Not started</t>
  </si>
  <si>
    <t>S-00</t>
  </si>
  <si>
    <t>Sectors</t>
  </si>
  <si>
    <t>Sectors hub</t>
  </si>
  <si>
    <t>/sectors/</t>
  </si>
  <si>
    <t>Hub</t>
  </si>
  <si>
    <t>Sectors We Supply | Survey, Geotechnical, Wind | RTG</t>
  </si>
  <si>
    <t>RTG deck equipment works across ocean survey, marine geotechnical, offshore wind and cables, seismic, research, subsea and defence. Find your sector.</t>
  </si>
  <si>
    <t>The sectors we build for</t>
  </si>
  <si>
    <t>marine deck equipment sectors</t>
  </si>
  <si>
    <t>offshore survey equipment; geotechnical handling; offshore wind survey equipment</t>
  </si>
  <si>
    <t>CollectionPage</t>
  </si>
  <si>
    <t>Composite of four sector images in a grid</t>
  </si>
  <si>
    <t>Intro; seven sector tiles with photography; proof bar</t>
  </si>
  <si>
    <t>Enter your sector</t>
  </si>
  <si>
    <t>New</t>
  </si>
  <si>
    <t>S-01</t>
  </si>
  <si>
    <t>Ocean Survey &amp; Hydrography</t>
  </si>
  <si>
    <t>/sectors/ocean-survey-hydrography/</t>
  </si>
  <si>
    <t>Sector</t>
  </si>
  <si>
    <t>AV01</t>
  </si>
  <si>
    <t>Survey &amp; Hydrographic Winches and LARS | RTG</t>
  </si>
  <si>
    <t>Winches and launch and recovery systems for hydrographic and geophysical survey: CTD, side scan, magnetometer, sub-bottom profiler and deep tow, 300 to 4,000 m.</t>
  </si>
  <si>
    <t>Handling systems for survey and hydrographic work</t>
  </si>
  <si>
    <t>hydrographic survey winch</t>
  </si>
  <si>
    <t>survey winch manufacturer; CTD winch; magnetometer winch; deep tow handling system</t>
  </si>
  <si>
    <t>Service</t>
  </si>
  <si>
    <t>Survey winch deploying a towfish over the stern</t>
  </si>
  <si>
    <t>The problem in the buyer's words; equipment for this sector; proof; technical note; two CTAs</t>
  </si>
  <si>
    <t>Request the survey range datasheets</t>
  </si>
  <si>
    <t>S-02</t>
  </si>
  <si>
    <t>Marine Geotechnical</t>
  </si>
  <si>
    <t>/sectors/marine-geotechnical/</t>
  </si>
  <si>
    <t>Geotechnical Handling Systems &amp; CPT Winches | RTG</t>
  </si>
  <si>
    <t>Corer, CPT and vibrocorer handling systems with tension control for seabed sampling. Proven to a 3,000 m working depth on a CPT sampling system.</t>
  </si>
  <si>
    <t>When the tool is fixed to the seabed and the ship is not</t>
  </si>
  <si>
    <t>geotechnical handling system</t>
  </si>
  <si>
    <t>CPT winch; corer handling system; seabed sampling winch; tension control winch</t>
  </si>
  <si>
    <t>Corer being recovered over the side, tension visible in the wire</t>
  </si>
  <si>
    <t>The captive-tool problem; tension control explained; the 3,000 m record; equipment; case study link</t>
  </si>
  <si>
    <t>Talk to a geotechnical engineer</t>
  </si>
  <si>
    <t>S-03</t>
  </si>
  <si>
    <t>Offshore Wind &amp; Subsea Cables</t>
  </si>
  <si>
    <t>/sectors/offshore-wind-subsea-cables/</t>
  </si>
  <si>
    <t>Offshore Wind &amp; Subsea Cable Handling Equipment | RTG</t>
  </si>
  <si>
    <t>Site investigation handling, cable tensioners from 5 to 20 tonnes and containerised cable spreads for offshore wind arrays, export cables and interconnectors.</t>
  </si>
  <si>
    <t>Every turbine starts with a core sample. Every array ends with a cable.</t>
  </si>
  <si>
    <t>subsea cable tensioner</t>
  </si>
  <si>
    <t>cable laying equipment; offshore wind survey equipment; cable handling system; cable carousel</t>
  </si>
  <si>
    <t>Cable tensioner skid on deck with cable running through</t>
  </si>
  <si>
    <t>Site investigation; cable handling; self-contained skids for vessels of opportunity; lead times</t>
  </si>
  <si>
    <t>Check tensioner availability</t>
  </si>
  <si>
    <t>S-04</t>
  </si>
  <si>
    <t>Seismic</t>
  </si>
  <si>
    <t>/sectors/seismic/</t>
  </si>
  <si>
    <t>P2</t>
  </si>
  <si>
    <t>Seismic Source and Streamer Handling Systems | RTG</t>
  </si>
  <si>
    <t>Seismic winches, source handling and streamer deployment systems for 2D and 3D marine seismic acquisition, designed for continuous duty at sea.</t>
  </si>
  <si>
    <t>Seismic handling built for continuous duty</t>
  </si>
  <si>
    <t>seismic handling system</t>
  </si>
  <si>
    <t>seismic winch; streamer handling; airgun source handling</t>
  </si>
  <si>
    <t>Seismic deck spread, multiple winches in frame</t>
  </si>
  <si>
    <t>The problem; equipment; duty cycle and reliability; proof</t>
  </si>
  <si>
    <t>Request the seismic range</t>
  </si>
  <si>
    <t>S-05</t>
  </si>
  <si>
    <t>Oceanographic Research</t>
  </si>
  <si>
    <t>/sectors/oceanographic-research/</t>
  </si>
  <si>
    <t>Oceanographic Research Winches | CTD &amp; Deep Tow | RTG</t>
  </si>
  <si>
    <t>Research winches for CTD, coring and deep tow work, from 300 to 4,000 m, electric or hydraulic, with precise slow-speed control for repeatable casts.</t>
  </si>
  <si>
    <t>A CTD cast is a measurement, not a lift</t>
  </si>
  <si>
    <t>oceanographic research winch</t>
  </si>
  <si>
    <t>CTD winch; research vessel winch; scientific winch; deep tow winch</t>
  </si>
  <si>
    <t>Research vessel A-frame at sea, scientists on deck</t>
  </si>
  <si>
    <t>Why a winch is part of the instrument; slow-speed control; the range; institutions served</t>
  </si>
  <si>
    <t>Request the research winch datasheets</t>
  </si>
  <si>
    <t>S-06</t>
  </si>
  <si>
    <t>Subsea, ROV &amp; Diving</t>
  </si>
  <si>
    <t>/sectors/subsea-rov-diving/</t>
  </si>
  <si>
    <t>ROV LARS, Umbilical Winches &amp; Dive Systems | RTG</t>
  </si>
  <si>
    <t>ROV launch and recovery systems, umbilical and tow winches, diver basket handling and man-riding systems built to class and proven under load.</t>
  </si>
  <si>
    <t>An ROV is only as available as its umbilical winch</t>
  </si>
  <si>
    <t>ROV launch and recovery system</t>
  </si>
  <si>
    <t>ROV winch; umbilical winch; diver basket handling; man riding winch</t>
  </si>
  <si>
    <t>ROV LARS mid-deployment through the moonpool or over the side</t>
  </si>
  <si>
    <t>Availability framing; the slip ring boundary; equipment; safety and class</t>
  </si>
  <si>
    <t>Talk to an engineer</t>
  </si>
  <si>
    <t>S-07</t>
  </si>
  <si>
    <t>Defence &amp; Government</t>
  </si>
  <si>
    <t>/sectors/defence-government/</t>
  </si>
  <si>
    <t>Deck Handling Equipment for Defence &amp; Government | RTG</t>
  </si>
  <si>
    <t>Deck machinery and handling systems for naval, coastguard and government research vessels, built to class with full material and weld traceability.</t>
  </si>
  <si>
    <t>Built for government and naval programmes</t>
  </si>
  <si>
    <t>naval deck handling equipment</t>
  </si>
  <si>
    <t>defence deck machinery; government research vessel equipment; military winch</t>
  </si>
  <si>
    <t>Grey hull deck equipment, restrained and neutral composition</t>
  </si>
  <si>
    <t>Programme requirements; traceability and documentation; security of supply; class</t>
  </si>
  <si>
    <t>Enquire about a programme</t>
  </si>
  <si>
    <t>E-00</t>
  </si>
  <si>
    <t>Equipment</t>
  </si>
  <si>
    <t>Equipment hub</t>
  </si>
  <si>
    <t>/equipment/</t>
  </si>
  <si>
    <t>Winches, LARS &amp; Deck Machinery | Equipment | RTG</t>
  </si>
  <si>
    <t>The RTG equipment range: winches, launch and recovery systems, cranes, handling systems, power units and containerised spreads for survey and subsea work.</t>
  </si>
  <si>
    <t>The equipment range</t>
  </si>
  <si>
    <t>marine winch manufacturer</t>
  </si>
  <si>
    <t>deck machinery manufacturer; launch and recovery systems; offshore winches</t>
  </si>
  <si>
    <t>Line-drawing composite of the range on a light ground</t>
  </si>
  <si>
    <t>Range tiles; applications cross-cut; how to specify; link to selector</t>
  </si>
  <si>
    <t>Find your configuration</t>
  </si>
  <si>
    <t>E-01</t>
  </si>
  <si>
    <t>Winches</t>
  </si>
  <si>
    <t>/equipment/winches/</t>
  </si>
  <si>
    <t>Marine Winches | Survey, Geotechnical &amp; ROV | RTG</t>
  </si>
  <si>
    <t>Electric and hydraulic marine winches from 0.3 to 7.4 tonnes working load and 200 to 5,500 m capacity, with Lebus grooved drums and controlled level wind.</t>
  </si>
  <si>
    <t>marine winch</t>
  </si>
  <si>
    <t>survey winch; geotechnical winch; ROV winch; electric marine winch; hydraulic winch</t>
  </si>
  <si>
    <t>Grooved drum close-up, shallow depth of field</t>
  </si>
  <si>
    <t>Winch families; the spec figures that matter; Lebus grooving; level wind; lead-off angle</t>
  </si>
  <si>
    <t>Request datasheets</t>
  </si>
  <si>
    <t>E-02</t>
  </si>
  <si>
    <t>Geotechnical &amp; Coring Winches</t>
  </si>
  <si>
    <t>/equipment/winches/geotechnical-coring/</t>
  </si>
  <si>
    <t>Product</t>
  </si>
  <si>
    <t>Geotechnical &amp; Coring Winches | CPT &amp; Piston Corer | RTG</t>
  </si>
  <si>
    <t>Winches for piston, gravity and box coring and CPT deployment, with constant tension control to protect the umbilical when the tool is captive in the seabed.</t>
  </si>
  <si>
    <t>Geotechnical and coring winches</t>
  </si>
  <si>
    <t>coring winch</t>
  </si>
  <si>
    <t>CPT winch; piston corer winch; vibrocorer winch; tension control winch</t>
  </si>
  <si>
    <t>Coring winch with wire under load, drum in frame</t>
  </si>
  <si>
    <t>Tier 1 specs in HTML; why it is built this way; applications; proof strip; gated full datasheet</t>
  </si>
  <si>
    <t>Request the full datasheet</t>
  </si>
  <si>
    <t>E-03</t>
  </si>
  <si>
    <t>Survey &amp; Oceanographic Winches</t>
  </si>
  <si>
    <t>/equipment/winches/survey-oceanographic/</t>
  </si>
  <si>
    <t>Survey &amp; Oceanographic Winches | 300-4,000 m | RTG</t>
  </si>
  <si>
    <t>Survey and oceanographic winches in electric or hydraulic drive, with or without level wind, supplied with cable capacities from 300 to 4,000 metres.</t>
  </si>
  <si>
    <t>Survey and oceanographic winches</t>
  </si>
  <si>
    <t>oceanographic winch</t>
  </si>
  <si>
    <t>survey winch; CTD winch; scientific research winch</t>
  </si>
  <si>
    <t>Survey winch on a research vessel deck</t>
  </si>
  <si>
    <t>Tier 1 specs; drive comparison; level wind options; applications; gated datasheet</t>
  </si>
  <si>
    <t>E-04</t>
  </si>
  <si>
    <t>Seismic Winches</t>
  </si>
  <si>
    <t>/equipment/winches/seismic/</t>
  </si>
  <si>
    <t>Seismic Winches &amp; Source Handling | RTG</t>
  </si>
  <si>
    <t>Seismic winches and source handling equipment engineered for continuous duty, high line speeds and repeated deployment cycles in marine acquisition.</t>
  </si>
  <si>
    <t>Seismic winches</t>
  </si>
  <si>
    <t>seismic winch</t>
  </si>
  <si>
    <t>airgun source winch; streamer winch</t>
  </si>
  <si>
    <t>Seismic winch bank on deck</t>
  </si>
  <si>
    <t>Tier 1 specs; duty cycle; applications; gated datasheet</t>
  </si>
  <si>
    <t>E-05</t>
  </si>
  <si>
    <t>ROV, Tow &amp; Umbilical Winches</t>
  </si>
  <si>
    <t>/equipment/winches/rov-tow-umbilical/</t>
  </si>
  <si>
    <t>ROV, Tow &amp; Umbilical Winches | Slip Ring Ready | RTG</t>
  </si>
  <si>
    <t>ROV, deep tow and umbilical winches with Lebus grooved drums, controlled level wind and a slip ring interface to suit your own data and power architecture.</t>
  </si>
  <si>
    <t>ROV, tow and umbilical winches</t>
  </si>
  <si>
    <t>ROV winch</t>
  </si>
  <si>
    <t>umbilical winch; deep tow winch; tow winch manufacturer</t>
  </si>
  <si>
    <t>ROV umbilical winch with level wind in motion</t>
  </si>
  <si>
    <t>Tier 1 specs; the slip ring boundary explained; cable protection; gated datasheet</t>
  </si>
  <si>
    <t>E-06</t>
  </si>
  <si>
    <t>Mooring &amp; Utility Winches</t>
  </si>
  <si>
    <t>/equipment/winches/mooring-utility/</t>
  </si>
  <si>
    <t>P3</t>
  </si>
  <si>
    <t>Mooring &amp; Utility Winches for Offshore Vessels | RTG</t>
  </si>
  <si>
    <t>Mooring, capstan and general utility winches for offshore and research vessels, built to class with the same welding and test discipline as the survey range.</t>
  </si>
  <si>
    <t>Mooring and utility winches</t>
  </si>
  <si>
    <t>mooring winch</t>
  </si>
  <si>
    <t>capstan winch; utility deck winch</t>
  </si>
  <si>
    <t>Mooring winch on a foredeck</t>
  </si>
  <si>
    <t>Tier 1 specs; class; gated datasheet</t>
  </si>
  <si>
    <t>E-07</t>
  </si>
  <si>
    <t>Launch &amp; Recovery Systems</t>
  </si>
  <si>
    <t>/equipment/launch-recovery-systems/</t>
  </si>
  <si>
    <t>Launch and Recovery Systems | A-Frames &amp; LARS | RTG</t>
  </si>
  <si>
    <t>Stern and side A-frames, mini survey LARS, ROV and CTD launch and recovery systems, engineered around your deck arrangement and sea state requirement.</t>
  </si>
  <si>
    <t>Launch and recovery systems</t>
  </si>
  <si>
    <t>launch and recovery system</t>
  </si>
  <si>
    <t>LARS manufacturer; A-frame stern; survey LARS; ROV LARS</t>
  </si>
  <si>
    <t>A-frame at full outboard swing with load on</t>
  </si>
  <si>
    <t>Configurations; deck seating and loading; sea state; motion compensation options; gated GA request</t>
  </si>
  <si>
    <t>Send us your deck arrangement</t>
  </si>
  <si>
    <t>E-08</t>
  </si>
  <si>
    <t>Cranes &amp; Lifting</t>
  </si>
  <si>
    <t>/equipment/cranes-lifting/</t>
  </si>
  <si>
    <t>Marine Cranes &amp; Lifting Equipment | Class Certified | RTG</t>
  </si>
  <si>
    <t>Deck cranes, knuckle boom and telescopic lifting equipment for research and offshore vessels, class certified and proof tested before dispatch.</t>
  </si>
  <si>
    <t>Cranes and lifting equipment</t>
  </si>
  <si>
    <t>marine deck crane</t>
  </si>
  <si>
    <t>offshore crane manufacturer; knuckle boom crane marine</t>
  </si>
  <si>
    <t>Deck crane lifting a container on a working deck</t>
  </si>
  <si>
    <t>Range; class and proof load; applications; gated datasheet</t>
  </si>
  <si>
    <t>E-09</t>
  </si>
  <si>
    <t>Handling Systems</t>
  </si>
  <si>
    <t>/equipment/handling-systems/</t>
  </si>
  <si>
    <t>Corer, Seismic &amp; Cable Handling Systems | RTG</t>
  </si>
  <si>
    <t>Complete handling systems for corers, seismic sources, diver baskets and subsea cable, supplied as integrated deck spreads rather than individual machines.</t>
  </si>
  <si>
    <t>Handling systems</t>
  </si>
  <si>
    <t>corer handling system</t>
  </si>
  <si>
    <t>seismic handling system; cable handling system; diver basket handling</t>
  </si>
  <si>
    <t>Full deck spread showing an integrated system</t>
  </si>
  <si>
    <t>System types; integration; deck layout; applications</t>
  </si>
  <si>
    <t>E-10</t>
  </si>
  <si>
    <t>Cable &amp; Pipe Tensioners</t>
  </si>
  <si>
    <t>/equipment/handling-systems/cable-pipe-tensioners/</t>
  </si>
  <si>
    <t>Cable &amp; Pipe Tensioners | 5 to 20 Te | RTG</t>
  </si>
  <si>
    <t>Self-contained two-track electro-hydraulic tensioners from 5 to 20 tonnes on a common skid, remote console controlled, for cable and pipe laying operations.</t>
  </si>
  <si>
    <t>Cable and pipe tensioners</t>
  </si>
  <si>
    <t>cable tensioner</t>
  </si>
  <si>
    <t>subsea cable tensioner; pipe laying tensioner; cable laying equipment</t>
  </si>
  <si>
    <t>Tensioner tracks gripping cable, close and mechanical</t>
  </si>
  <si>
    <t>Tier 1 specs; squeeze versus line tension explained; fail-safe braking; availability; gated datasheet</t>
  </si>
  <si>
    <t>Check availability</t>
  </si>
  <si>
    <t>E-11</t>
  </si>
  <si>
    <t>Power Units</t>
  </si>
  <si>
    <t>/equipment/power-units/</t>
  </si>
  <si>
    <t>Marine Hydraulic Power Units | HPU | RTG</t>
  </si>
  <si>
    <t>Hydraulic power units for deck machinery, built and flushed to a defined cleanliness class and function tested with the equipment they will drive.</t>
  </si>
  <si>
    <t>Hydraulic power units</t>
  </si>
  <si>
    <t>marine hydraulic power unit</t>
  </si>
  <si>
    <t>HPU offshore; deck machinery power pack</t>
  </si>
  <si>
    <t>HPU skid, pipework and gauges in focus</t>
  </si>
  <si>
    <t>Tier 1 specs; cleanliness class; testing; gated datasheet</t>
  </si>
  <si>
    <t>E-12</t>
  </si>
  <si>
    <t>Portable &amp; Containerised Systems</t>
  </si>
  <si>
    <t>/equipment/portable-containerised/</t>
  </si>
  <si>
    <t>Containerised &amp; Portable Survey Spreads | RTG</t>
  </si>
  <si>
    <t>Self-contained, road transportable handling spreads with certified lifting lugs, fork pockets and twist-lock footprints, for vessels you do not own.</t>
  </si>
  <si>
    <t>Built to move between hulls</t>
  </si>
  <si>
    <t>containerised winch system</t>
  </si>
  <si>
    <t>portable survey spread; modular deck equipment; skid mounted winch</t>
  </si>
  <si>
    <t>Containerised spread being craned onto a deck</t>
  </si>
  <si>
    <t>The charter-hull problem; mobilisation features; deck seating and loading; case study link</t>
  </si>
  <si>
    <t>Talk about your next mobilisation</t>
  </si>
  <si>
    <t>L-00</t>
  </si>
  <si>
    <t>Lifecycle</t>
  </si>
  <si>
    <t>Lifecycle hub</t>
  </si>
  <si>
    <t>/lifecycle/</t>
  </si>
  <si>
    <t>Refurbishment, Upgrade &amp; Support | Lifecycle | RTG</t>
  </si>
  <si>
    <t>Your vessel is worth more working than replaced. Condition assessment, refurbishment, capability upgrade, re-certification and spares for deck machinery.</t>
  </si>
  <si>
    <t>Keeping equipment working</t>
  </si>
  <si>
    <t>winch refurbishment</t>
  </si>
  <si>
    <t>deck machinery overhaul; LARS refurbishment; marine equipment life extension</t>
  </si>
  <si>
    <t>Stripped winch mid-refurbishment, components laid out</t>
  </si>
  <si>
    <t>Why now (fleet age); services; lead times; decision guide link; assessment CTA</t>
  </si>
  <si>
    <t>Book a condition assessment</t>
  </si>
  <si>
    <t>L-01</t>
  </si>
  <si>
    <t>Refurbishment &amp; Upgrade</t>
  </si>
  <si>
    <t>/lifecycle/refurbishment-upgrade/</t>
  </si>
  <si>
    <t>Winch &amp; LARS Refurbishment and Upgrade | RTG</t>
  </si>
  <si>
    <t>Full refurbishment of winches, LARS and deck machinery: condition assessment, rework, component reuse, capability upgrade, testing and reissued documentation.</t>
  </si>
  <si>
    <t>Refurbishment and upgrade</t>
  </si>
  <si>
    <t>winch overhaul; deck crane refurbishment; LARS upgrade; marine winch rebuild</t>
  </si>
  <si>
    <t>Before and after pairing of the same machine</t>
  </si>
  <si>
    <t>What we assess; what we rework; what we reuse; upgrades; testing; documentation reissued; lead times</t>
  </si>
  <si>
    <t>L-02</t>
  </si>
  <si>
    <t>Refurbish, Upgrade or Replace?</t>
  </si>
  <si>
    <t>/lifecycle/refurbish-upgrade-or-replace/</t>
  </si>
  <si>
    <t>Guide</t>
  </si>
  <si>
    <t>Refurbish, Upgrade or Replace? A Decision Guide | RTG</t>
  </si>
  <si>
    <t>Six questions that decide whether deck machinery is worth rebuilding: drum and shaft condition, brakes, hydraulics, capability target, spares and class status.</t>
  </si>
  <si>
    <t>Refurbish, upgrade or replace?</t>
  </si>
  <si>
    <t>refurbish or replace winch</t>
  </si>
  <si>
    <t>winch condition assessment; deck machinery end of life</t>
  </si>
  <si>
    <t>Article</t>
  </si>
  <si>
    <t>Engineer inspecting a drum with a gauge</t>
  </si>
  <si>
    <t>Six questions; honest answers including when not to refurbish; what an assessment covers</t>
  </si>
  <si>
    <t>L-03</t>
  </si>
  <si>
    <t>Re-certification &amp; Class Renewal</t>
  </si>
  <si>
    <t>/lifecycle/recertification-class-renewal/</t>
  </si>
  <si>
    <t>Deck Equipment Re-certification &amp; Class Renewal | RTG</t>
  </si>
  <si>
    <t>Load testing, inspection and documentation for class renewal on deck machinery, including equipment originally supplied by other manufacturers.</t>
  </si>
  <si>
    <t>Re-certification and class renewal</t>
  </si>
  <si>
    <t>deck equipment recertification</t>
  </si>
  <si>
    <t>winch load test certificate; class renewal deck machinery; proof load testing</t>
  </si>
  <si>
    <t>Load test in progress with certified weights</t>
  </si>
  <si>
    <t>What class requires; the test suite; documentation issued; equipment we did not build</t>
  </si>
  <si>
    <t>Arrange re-certification</t>
  </si>
  <si>
    <t>L-04</t>
  </si>
  <si>
    <t>Spares &amp; Support</t>
  </si>
  <si>
    <t>/lifecycle/spares-support/</t>
  </si>
  <si>
    <t>Marine Deck Machinery Spares &amp; Support | RTG</t>
  </si>
  <si>
    <t>Spares, technical support and field service for RTG equipment and for deck machinery supplied by others, through UK and EU offices and agents worldwide.</t>
  </si>
  <si>
    <t>Spares and support</t>
  </si>
  <si>
    <t>marine winch spares</t>
  </si>
  <si>
    <t>deck machinery spare parts; offshore equipment field service</t>
  </si>
  <si>
    <t>Spares shelf or a service engineer on deck</t>
  </si>
  <si>
    <t>What we hold; obsolete equipment; response times; global reach; agents</t>
  </si>
  <si>
    <t>Request a spares quotation</t>
  </si>
  <si>
    <t>L-05</t>
  </si>
  <si>
    <t>Book a Condition Assessment</t>
  </si>
  <si>
    <t>/lifecycle/condition-assessment/</t>
  </si>
  <si>
    <t>Form</t>
  </si>
  <si>
    <t>Gated</t>
  </si>
  <si>
    <t>Book a Deck Machinery Condition Assessment | RTG</t>
  </si>
  <si>
    <t>Tell us the equipment, the vessel and the maintenance window. We will tell you what is worth rebuilding, what is not, and what the work would involve.</t>
  </si>
  <si>
    <t>winch condition assessment</t>
  </si>
  <si>
    <t>deck machinery survey; equipment condition report</t>
  </si>
  <si>
    <t>Clean form page, single supporting image</t>
  </si>
  <si>
    <t>What the assessment covers; what you get; form: equipment, vessel, location, window</t>
  </si>
  <si>
    <t>Submit</t>
  </si>
  <si>
    <t>C-00</t>
  </si>
  <si>
    <t>Contract Manufacturing</t>
  </si>
  <si>
    <t>Contract Manufacturing hub</t>
  </si>
  <si>
    <t>/contract-manufacturing/</t>
  </si>
  <si>
    <t>Ladder</t>
  </si>
  <si>
    <t>AV02</t>
  </si>
  <si>
    <t>Contract Manufacturing to Your Drawings | RTG</t>
  </si>
  <si>
    <t>Your design, your IP, our factory. From welded structures to complete machines, assembled, piped, wired, programmed, load tested under class and commissioned.</t>
  </si>
  <si>
    <t>How much of your machine would you like us to take?</t>
  </si>
  <si>
    <t>contract manufacturing marine equipment</t>
  </si>
  <si>
    <t>outsourced deck machinery manufacture; build to print marine; subcontract winch manufacture</t>
  </si>
  <si>
    <t>Machine part-built on the shop floor, unbranded</t>
  </si>
  <si>
    <t>The four tiers; what you no longer do; what we need from you; how it is proven; references</t>
  </si>
  <si>
    <t>Send us your documentation</t>
  </si>
  <si>
    <t>C-01</t>
  </si>
  <si>
    <t>Tier 1 Structural Fabrication</t>
  </si>
  <si>
    <t>/contract-manufacturing/structural-fabrication/</t>
  </si>
  <si>
    <t>Tier</t>
  </si>
  <si>
    <t>Certified Structural Fabrication &amp; Welding | RTG</t>
  </si>
  <si>
    <t>Welded structures to your drawings with EN ISO 3834 discipline, coded welders, NDT to ISO 9712 level 2 and 100 percent traceability on structural welds.</t>
  </si>
  <si>
    <t>Tier 1: structural fabrication</t>
  </si>
  <si>
    <t>certified structural fabrication</t>
  </si>
  <si>
    <t>marine steel fabrication subcontract; coded welding services; EN ISO 3834 fabricator</t>
  </si>
  <si>
    <t>Welder at work, arc light, protective equipment correct</t>
  </si>
  <si>
    <t>Scope; welding procedures; NDT; traceability; machining; class survey; what we need from you</t>
  </si>
  <si>
    <t>Send drawings for a budget quotation</t>
  </si>
  <si>
    <t>C-02</t>
  </si>
  <si>
    <t>Tier 2 Mechanical Assembly</t>
  </si>
  <si>
    <t>/contract-manufacturing/mechanical-assembly/</t>
  </si>
  <si>
    <t>Mechanical Assembly to Client Drawings | RTG</t>
  </si>
  <si>
    <t>Drums, shafts, bearings, gearboxes, brakes, sheaves and level wind assembled to your specification, torqued, aligned and rotation checked before dispatch.</t>
  </si>
  <si>
    <t>Tier 2: mechanical assembly</t>
  </si>
  <si>
    <t>mechanical assembly subcontract</t>
  </si>
  <si>
    <t>winch assembly services; gearbox and drum assembly; contract mechanical build</t>
  </si>
  <si>
    <t>Drum and shaft being lowered into bearings</t>
  </si>
  <si>
    <t>Scope; what you no longer do; tolerances and checks; what we need from you; reference</t>
  </si>
  <si>
    <t>Discuss a trial assembly</t>
  </si>
  <si>
    <t>C-03</t>
  </si>
  <si>
    <t>Tier 3 Hydraulic &amp; Electrical Build</t>
  </si>
  <si>
    <t>/contract-manufacturing/hydraulic-electrical-build/</t>
  </si>
  <si>
    <t>Hydraulic &amp; Electrical Build to Your Design | RTG</t>
  </si>
  <si>
    <t>Power units, pipework flushed to a defined cleanliness class, valve blocks, control panels, cabling, terminations and instrumentation, built to your schematics.</t>
  </si>
  <si>
    <t>Tier 3: hydraulic and electrical build</t>
  </si>
  <si>
    <t>hydraulic and electrical contract build</t>
  </si>
  <si>
    <t>hydraulic pipework fabrication; control panel build marine; flushing to cleanliness class</t>
  </si>
  <si>
    <t>Hydraulic pipework and manifolds, clean and ordered</t>
  </si>
  <si>
    <t>Scope; cleanliness class; panel build; testing at this tier; what we need from you</t>
  </si>
  <si>
    <t>Discuss a package</t>
  </si>
  <si>
    <t>C-04</t>
  </si>
  <si>
    <t>Tier 4 Automation, Test &amp; Commissioning</t>
  </si>
  <si>
    <t>/contract-manufacturing/automation-test-commissioning/</t>
  </si>
  <si>
    <t>Automation, Load Testing &amp; Commissioning | RTG</t>
  </si>
  <si>
    <t>PLC and HMI loading, interlock proving, load testing to 150 tonnes under class witness, full certification dossier and commissioning on the vessel.</t>
  </si>
  <si>
    <t>Tier 4: automation, test and commissioning</t>
  </si>
  <si>
    <t>factory acceptance testing marine equipment</t>
  </si>
  <si>
    <t>PLC commissioning offshore equipment; load testing 150 tonnes; class witnessed testing</t>
  </si>
  <si>
    <t>Machine on the test stand, instrumentation and weights visible</t>
  </si>
  <si>
    <t>Scope; the test suite; class witness; the dossier; site commissioning; resourcing note</t>
  </si>
  <si>
    <t>Discuss a full-scope build</t>
  </si>
  <si>
    <t>C-05</t>
  </si>
  <si>
    <t>Bespoke Design</t>
  </si>
  <si>
    <t>/contract-manufacturing/bespoke-design/</t>
  </si>
  <si>
    <t>Bespoke Deck Equipment Design &amp; Build | RTG</t>
  </si>
  <si>
    <t>Where you do not hold a design, RTG engineers one: concept, general arrangement, calculations, class appraisal, manufacture and test, to your requirement.</t>
  </si>
  <si>
    <t>Bespoke design</t>
  </si>
  <si>
    <t>bespoke deck equipment design</t>
  </si>
  <si>
    <t>custom marine equipment design; special purpose winch design</t>
  </si>
  <si>
    <t>Engineer at a screen with a 3D model, workshop behind</t>
  </si>
  <si>
    <t>When bespoke is right; the process; class appraisal; timeline; who owns the design</t>
  </si>
  <si>
    <t>Start a design conversation</t>
  </si>
  <si>
    <t>C-06</t>
  </si>
  <si>
    <t>Your IP, Protected</t>
  </si>
  <si>
    <t>/contract-manufacturing/your-ip-protected/</t>
  </si>
  <si>
    <t>Policy</t>
  </si>
  <si>
    <t>How We Protect Your Design and IP | RTG</t>
  </si>
  <si>
    <t>NDA before drawings, segregated project files, no derivative products from client designs, and a clear contractual separation from our own equipment range.</t>
  </si>
  <si>
    <t>Your design stays yours</t>
  </si>
  <si>
    <t>protecting client IP contract manufacturing</t>
  </si>
  <si>
    <t>NDA fabrication; design confidentiality manufacturing</t>
  </si>
  <si>
    <t>Abstract: a drawing folder, closed</t>
  </si>
  <si>
    <t>The commitment; how files are segregated; the competitor question answered; NDA download</t>
  </si>
  <si>
    <t>Request our standard NDA</t>
  </si>
  <si>
    <t>C-07</t>
  </si>
  <si>
    <t>EU-Origin Fabrication</t>
  </si>
  <si>
    <t>/contract-manufacturing/eu-origin-fabrication/</t>
  </si>
  <si>
    <t>EU-Origin Steel Fabrication &amp; Melt-and-Pour | RTG</t>
  </si>
  <si>
    <t>Fabrication inside the EU, with melt-and-pour origin documentation supplied alongside our standard weld traceability pack for every structure we build.</t>
  </si>
  <si>
    <t>Fabricated inside the EU, documented</t>
  </si>
  <si>
    <t>EU origin steel fabrication</t>
  </si>
  <si>
    <t>melt and pour documentation; EU steel safeguard fabrication; EU origin structures</t>
  </si>
  <si>
    <t>Steel plate stack with heat numbers visible</t>
  </si>
  <si>
    <t>What changed in July 2026; what we supply; what we cannot advise on; disclaimer</t>
  </si>
  <si>
    <t>Ask about origin documentation</t>
  </si>
  <si>
    <t>C-08</t>
  </si>
  <si>
    <t>Capacity &amp; Lead Times</t>
  </si>
  <si>
    <t>/contract-manufacturing/capacity-lead-times/</t>
  </si>
  <si>
    <t>Current Manufacturing Capacity &amp; Lead Times | RTG</t>
  </si>
  <si>
    <t>A quarterly statement of available fabrication, assembly, hydraulic build and test capacity by tier, with indicative lead times for each. Updated every quarter.</t>
  </si>
  <si>
    <t>Capacity and lead times</t>
  </si>
  <si>
    <t>marine fabrication capacity</t>
  </si>
  <si>
    <t>manufacturing slots offshore equipment; fabrication lead times</t>
  </si>
  <si>
    <t>Shop floor wide shot showing available bay space</t>
  </si>
  <si>
    <t>What is available by tier; how to book; form</t>
  </si>
  <si>
    <t>Request current capacity</t>
  </si>
  <si>
    <t>C-09</t>
  </si>
  <si>
    <t>Send Us Documentation</t>
  </si>
  <si>
    <t>/contract-manufacturing/send-documentation/</t>
  </si>
  <si>
    <t>Send Us Your Drawings, Under NDA | RTG</t>
  </si>
  <si>
    <t>Upload your documentation under NDA and we will come back with scope, tier options and an indicative price. Tell us which tier you are short of capacity in.</t>
  </si>
  <si>
    <t>send drawings for quotation</t>
  </si>
  <si>
    <t>upload drawings fabrication quote; NDA drawing submission</t>
  </si>
  <si>
    <t>Clean form page</t>
  </si>
  <si>
    <t>NDA first; what to send by tier; what you get back and when; upload form</t>
  </si>
  <si>
    <t>Submit under NDA</t>
  </si>
  <si>
    <t>Y-00</t>
  </si>
  <si>
    <t>Yards</t>
  </si>
  <si>
    <t>Yards &amp; Integrators hub</t>
  </si>
  <si>
    <t>/yards-integrators/</t>
  </si>
  <si>
    <t>AV03</t>
  </si>
  <si>
    <t>Subcontract Fabrication &amp; Deck Packages for Yards | RTG</t>
  </si>
  <si>
    <t>European standards, EU capacity, class certified. Overflow structural fabrication and deck equipment packages that protect your delivery date.</t>
  </si>
  <si>
    <t>Capacity that protects your delivery date</t>
  </si>
  <si>
    <t>shipyard subcontract fabrication</t>
  </si>
  <si>
    <t>marine steel subcontractor; deck equipment package supplier; approved fabricator shipyard</t>
  </si>
  <si>
    <t>Large fabricated structure in the yard bay, scale evident</t>
  </si>
  <si>
    <t>Two modes; capacity; class; approvals; delivery record; vendor pack CTA</t>
  </si>
  <si>
    <t>Download the vendor qualification pack</t>
  </si>
  <si>
    <t>Y-01</t>
  </si>
  <si>
    <t>Structural Subcontracting</t>
  </si>
  <si>
    <t>/yards-integrators/structural-subcontracting/</t>
  </si>
  <si>
    <t>Structural Steel Subcontracting for Shipyards | RTG</t>
  </si>
  <si>
    <t>Overflow structural fabrication, sea-fastenings and large welded assemblies, class surveyed, delivered to your build programme from an EU facility.</t>
  </si>
  <si>
    <t>Structural subcontracting</t>
  </si>
  <si>
    <t>shipyard steel subcontracting</t>
  </si>
  <si>
    <t>sea fastening fabrication; overflow steel fabrication marine; large welded assemblies</t>
  </si>
  <si>
    <t>Sea-fastening or large structure under fabrication</t>
  </si>
  <si>
    <t>Capacity and sizes; class survey; programme adherence; logistics; EU origin</t>
  </si>
  <si>
    <t>Y-02</t>
  </si>
  <si>
    <t>Deck-Equipment Packages</t>
  </si>
  <si>
    <t>/yards-integrators/deck-equipment-packages/</t>
  </si>
  <si>
    <t>Deck Equipment Packages for Newbuild Vessels | RTG</t>
  </si>
  <si>
    <t>Complete deck handling packages specified, built, tested and commissioned for newbuild survey, research and offshore vessels, integrated with your programme.</t>
  </si>
  <si>
    <t>Deck equipment packages</t>
  </si>
  <si>
    <t>deck equipment package newbuild</t>
  </si>
  <si>
    <t>newbuild vessel deck machinery; survey vessel equipment package</t>
  </si>
  <si>
    <t>Newbuild vessel at the quay with deck equipment installed</t>
  </si>
  <si>
    <t>What a package includes; integration with the build; commissioning; the HHI reference</t>
  </si>
  <si>
    <t>Discuss a newbuild programme</t>
  </si>
  <si>
    <t>Y-03</t>
  </si>
  <si>
    <t>Certifications &amp; Approvals</t>
  </si>
  <si>
    <t>/yards-integrators/certifications-approvals/</t>
  </si>
  <si>
    <t>Proof</t>
  </si>
  <si>
    <t>Certifications, Class Approvals &amp; Welding Standards | RTG</t>
  </si>
  <si>
    <t>Bureau Veritas Mode II recognition, welding procedures approved with TUV, DNV and Lloyd's Register, welders to ISO 9606-1 and NDT to ISO 9712 level 2.</t>
  </si>
  <si>
    <t>Certifications and approvals</t>
  </si>
  <si>
    <t>certified marine fabricator</t>
  </si>
  <si>
    <t>EN ISO 3834 certification; Bureau Veritas Mode II workshop; ISO 9606 welder qualification</t>
  </si>
  <si>
    <t>Certificate wall or a stamped weld map, shot honestly</t>
  </si>
  <si>
    <t>Every item a vendor form asks for, listed; scope of each approval; who issued it; validity</t>
  </si>
  <si>
    <t>Y-04</t>
  </si>
  <si>
    <t>Vendor Qualification Pack</t>
  </si>
  <si>
    <t>/yards-integrators/vendor-qualification-pack/</t>
  </si>
  <si>
    <t>Download Our Vendor Qualification Pack | RTG</t>
  </si>
  <si>
    <t>Everything your procurement and quality teams need to assess RTG as an approved fabricator, in one document. Tell us the yard and the programme it is for.</t>
  </si>
  <si>
    <t>Vendor qualification pack</t>
  </si>
  <si>
    <t>vendor qualification pack fabricator</t>
  </si>
  <si>
    <t>supplier approval documents fabrication; approved vendor submission</t>
  </si>
  <si>
    <t>What is in the pack; form: yard, role, programme, timescale</t>
  </si>
  <si>
    <t>Download the pack</t>
  </si>
  <si>
    <t>P-00</t>
  </si>
  <si>
    <t>Proof hub</t>
  </si>
  <si>
    <t>/proof/</t>
  </si>
  <si>
    <t>Case Studies, References &amp; Test Evidence | RTG</t>
  </si>
  <si>
    <t>Twenty-two years, more than 250 completed projects and around 1,500 deck machines. Case studies, vessel references, our test facility and what clients say.</t>
  </si>
  <si>
    <t>The evidence</t>
  </si>
  <si>
    <t>marine equipment case studies</t>
  </si>
  <si>
    <t>deck machinery references; offshore equipment track record</t>
  </si>
  <si>
    <t>Composite: a delivered machine, a test stand, a vessel</t>
  </si>
  <si>
    <t>Proof bar; case study tiles; test facility; references; testimonials</t>
  </si>
  <si>
    <t>Read the case studies</t>
  </si>
  <si>
    <t>P-01</t>
  </si>
  <si>
    <t>Case Studies index</t>
  </si>
  <si>
    <t>/proof/case-studies/</t>
  </si>
  <si>
    <t>Deck Equipment Case Studies | RTG</t>
  </si>
  <si>
    <t>How RTG standardised handling across a survey fleet, rebuilt a twelve-year-old traction winch, and built complete machines to an OEM's drawings.</t>
  </si>
  <si>
    <t>Case studies</t>
  </si>
  <si>
    <t>deck equipment case study</t>
  </si>
  <si>
    <t>winch refurbishment case study; contract manufacturing case study</t>
  </si>
  <si>
    <t>Three case study cards with strong photography</t>
  </si>
  <si>
    <t>One card per case study with the headline number visible</t>
  </si>
  <si>
    <t>Read</t>
  </si>
  <si>
    <t>P-02</t>
  </si>
  <si>
    <t>CS-01 Fleet standardisation</t>
  </si>
  <si>
    <t>/proof/case-studies/fleet-standardisation/</t>
  </si>
  <si>
    <t>Case</t>
  </si>
  <si>
    <t>Case Study: One Handling Standard, Seven Vessels | RTG</t>
  </si>
  <si>
    <t>How a survey operator moved from a patchwork of launch and recovery systems to a single handling standard across seven vessels over fourteen years.</t>
  </si>
  <si>
    <t>Seven vessels. Fourteen years. One handling standard.</t>
  </si>
  <si>
    <t>fleet standardisation deck equipment</t>
  </si>
  <si>
    <t>survey fleet handling standard; LARS standardisation case study</t>
  </si>
  <si>
    <t>Two vessels from the same fleet, same equipment visible</t>
  </si>
  <si>
    <t>Situation; constraint; engineering decision; result with a number; what it changed</t>
  </si>
  <si>
    <t>Talk about your fleet</t>
  </si>
  <si>
    <t>P-03</t>
  </si>
  <si>
    <t>CS-02 Refurbishment 21REL-05</t>
  </si>
  <si>
    <t>/proof/case-studies/traction-winch-refurbishment/</t>
  </si>
  <si>
    <t>Case Study: Rebuilding a 2009 Traction Winch | RTG</t>
  </si>
  <si>
    <t>A twelve-year-old electro-hydraulic traction winch assessed, rebuilt, upgraded and retested for offshore geotechnical work, with documentation reissued.</t>
  </si>
  <si>
    <t>The winch we built in 2009, rebuilt in 2021</t>
  </si>
  <si>
    <t>traction winch refurbishment</t>
  </si>
  <si>
    <t>electro hydraulic winch rebuild; winch condition assessment case study</t>
  </si>
  <si>
    <t>Before and after of the same machine, matched angle</t>
  </si>
  <si>
    <t>Condition assessment; what was reused; upgrades; testing; documentation reissued; spares advice</t>
  </si>
  <si>
    <t>P-04</t>
  </si>
  <si>
    <t>CS-03 Contract manufacturing</t>
  </si>
  <si>
    <t>/proof/case-studies/contract-manufacturing/</t>
  </si>
  <si>
    <t>Case Study: A Complete Machine, Built to Their Drawings</t>
  </si>
  <si>
    <t>How an equipment OEM moved from outsourcing steelwork alone to handing RTG a complete machine, assembled, wired, tested under class and delivered.</t>
  </si>
  <si>
    <t>From a welded frame to a finished machine</t>
  </si>
  <si>
    <t>contract manufacturing case study</t>
  </si>
  <si>
    <t>build to print case study; outsourced machine build marine</t>
  </si>
  <si>
    <t>Finished machine on the test stand, client branding removed</t>
  </si>
  <si>
    <t>Situation; the tier progression; what changed for them; result; how it started</t>
  </si>
  <si>
    <t>P-05</t>
  </si>
  <si>
    <t>CS-04 Yard programme</t>
  </si>
  <si>
    <t>/proof/case-studies/newbuild-yard-programme/</t>
  </si>
  <si>
    <t>Case Study: Deck Equipment for a Newbuild Programme | RTG</t>
  </si>
  <si>
    <t>Supplying and commissioning deck handling equipment into a shipyard newbuild programme, delivered to the yard's own schedule and certified to class throughout.</t>
  </si>
  <si>
    <t>Delivered to the yard's programme</t>
  </si>
  <si>
    <t>shipyard deck equipment case study</t>
  </si>
  <si>
    <t>newbuild vessel equipment supply; yard subcontract case study</t>
  </si>
  <si>
    <t>Vessel at the yard with equipment being installed</t>
  </si>
  <si>
    <t>Situation; the yard's constraint; how RTG worked to the programme; result; testimonial</t>
  </si>
  <si>
    <t>Discuss a build programme</t>
  </si>
  <si>
    <t>P-06</t>
  </si>
  <si>
    <t>Test Facility</t>
  </si>
  <si>
    <t>/proof/test-facility/</t>
  </si>
  <si>
    <t>Load Testing to 150 Tonnes | Test Facility | RTG</t>
  </si>
  <si>
    <t>Two test stands, load testing to 150 tonnes with certified weights: proof load, dynamic functional, brake holding, render and speed tests under class witness.</t>
  </si>
  <si>
    <t>Nothing leaves this factory untested</t>
  </si>
  <si>
    <t>150 tonne load test facility</t>
  </si>
  <si>
    <t>winch load testing; factory acceptance test marine equipment; render test winch</t>
  </si>
  <si>
    <t>Machine under load on the stand, weights and instruments visible</t>
  </si>
  <si>
    <t>The stands; the test suite explained; class witness; what the dossier contains; video</t>
  </si>
  <si>
    <t>Ask about factory acceptance testing</t>
  </si>
  <si>
    <t>P-07</t>
  </si>
  <si>
    <t>Vessel &amp; Client References</t>
  </si>
  <si>
    <t>/proof/references/</t>
  </si>
  <si>
    <t>Vessels and Clients We Have Supplied | RTG</t>
  </si>
  <si>
    <t>More than 50 global customers and research institutions, over 250 completed projects and around 1,500 custom deck machines delivered since 2003.</t>
  </si>
  <si>
    <t>Vessels and clients</t>
  </si>
  <si>
    <t>marine equipment client references</t>
  </si>
  <si>
    <t>deck machinery reference list; research vessel equipment supplier</t>
  </si>
  <si>
    <t>Grid of vessel photographs</t>
  </si>
  <si>
    <t>Reference list by sector; the numbers; permission-cleared logos only</t>
  </si>
  <si>
    <t>Ask for a reference in your sector</t>
  </si>
  <si>
    <t>P-08</t>
  </si>
  <si>
    <t>What Clients Say</t>
  </si>
  <si>
    <t>/proof/testimonials/</t>
  </si>
  <si>
    <t>What Our Clients Say | Testimonials | RTG</t>
  </si>
  <si>
    <t>In the words of a global survey operator, a major shipyard and an offshore equipment specialist, on design quality, communication and on-time delivery.</t>
  </si>
  <si>
    <t>What clients say</t>
  </si>
  <si>
    <t>marine equipment supplier testimonials</t>
  </si>
  <si>
    <t>deck machinery client feedback</t>
  </si>
  <si>
    <t>Portrait or vessel per testimonial, not stock</t>
  </si>
  <si>
    <t>Three testimonials with attribution and context</t>
  </si>
  <si>
    <t>Talk to us</t>
  </si>
  <si>
    <t>R-00</t>
  </si>
  <si>
    <t>Resources</t>
  </si>
  <si>
    <t>Technical Notes index</t>
  </si>
  <si>
    <t>/resources/technical-notes/</t>
  </si>
  <si>
    <t>Technical Notes on Deck Machinery Engineering | RTG</t>
  </si>
  <si>
    <t>Plain explanations of how deck machinery works: layer effect on line pull, Lebus grooving, lead-off angle, render testing, squeeze versus line tension.</t>
  </si>
  <si>
    <t>Technical notes</t>
  </si>
  <si>
    <t>deck machinery engineering explained</t>
  </si>
  <si>
    <t>winch line pull layers; Lebus grooving explained; render test explained</t>
  </si>
  <si>
    <t>Line drawing or diagram, distinctly RTG</t>
  </si>
  <si>
    <t>Article cards; sorted by topic; these are the SEO engine of the site</t>
  </si>
  <si>
    <t>R-01</t>
  </si>
  <si>
    <t>Datasheet Library</t>
  </si>
  <si>
    <t>/resources/datasheets/</t>
  </si>
  <si>
    <t>Request Equipment Datasheets | RTG</t>
  </si>
  <si>
    <t>Full datasheets including general arrangement drawings, issued to you by email. Tell us the equipment and the project and we will send the right ones.</t>
  </si>
  <si>
    <t>Datasheet library</t>
  </si>
  <si>
    <t>marine winch datasheet</t>
  </si>
  <si>
    <t>deck equipment specifications; winch general arrangement drawing</t>
  </si>
  <si>
    <t>What the full datasheet contains; watermarking notice; form</t>
  </si>
  <si>
    <t>R-02</t>
  </si>
  <si>
    <t>Catalogues</t>
  </si>
  <si>
    <t>/resources/catalogues/</t>
  </si>
  <si>
    <t>Product Catalogues | RTG</t>
  </si>
  <si>
    <t>The full RTG deck equipment catalogue, issued on request. Tell us your sector and the work you do and we will send you the relevant volume by email.</t>
  </si>
  <si>
    <t>deck equipment catalogue</t>
  </si>
  <si>
    <t>marine winch catalogue; offshore handling equipment catalogue</t>
  </si>
  <si>
    <t>Catalogue spread, photographed</t>
  </si>
  <si>
    <t>What each catalogue covers; form</t>
  </si>
  <si>
    <t>Request a catalogue</t>
  </si>
  <si>
    <t>R-03</t>
  </si>
  <si>
    <t>News &amp; Insight</t>
  </si>
  <si>
    <t>/resources/news/</t>
  </si>
  <si>
    <t>News and Insight | RTG</t>
  </si>
  <si>
    <t>Project news, technical insight and market commentary on deck machinery and offshore handling, from RTG's UK and Romanian engineering teams. Updated monthly.</t>
  </si>
  <si>
    <t>News and insight</t>
  </si>
  <si>
    <t>marine deck equipment news</t>
  </si>
  <si>
    <t>offshore equipment industry insight</t>
  </si>
  <si>
    <t>Blog</t>
  </si>
  <si>
    <t>Recent project photograph</t>
  </si>
  <si>
    <t>Post list; must be merged onto the main domain from the WordPress subsite</t>
  </si>
  <si>
    <t>Subscribe</t>
  </si>
  <si>
    <t>Migrate</t>
  </si>
  <si>
    <t>A-01</t>
  </si>
  <si>
    <t>About</t>
  </si>
  <si>
    <t>The Company</t>
  </si>
  <si>
    <t>/about/</t>
  </si>
  <si>
    <t>About RTG | British Design, European Manufacture</t>
  </si>
  <si>
    <t>Founded to combine British deck equipment design with European manufacturing. Twenty-two years, 250 projects and around 1,500 machines delivered.</t>
  </si>
  <si>
    <t>A father, a son, and a factory in Satu Mare</t>
  </si>
  <si>
    <t>Romica Tie Group</t>
  </si>
  <si>
    <t>British marine equipment designer; European deck machinery manufacturer</t>
  </si>
  <si>
    <t>AboutPage</t>
  </si>
  <si>
    <t>Founders or the facility exterior, honest and unposed</t>
  </si>
  <si>
    <t>The founding story; the model; the numbers; values; where we are going</t>
  </si>
  <si>
    <t>Meet the team</t>
  </si>
  <si>
    <t>A-02</t>
  </si>
  <si>
    <t>People &amp; Facility</t>
  </si>
  <si>
    <t>/about/people-facility/</t>
  </si>
  <si>
    <t>Our People and Our Factory at Satu Mare | RTG</t>
  </si>
  <si>
    <t>Around 80 engineers, welders, fitters and technicians in a purpose-built facility in Satu Mare, Romania, with design and commercial teams in the UK.</t>
  </si>
  <si>
    <t>The people and the place</t>
  </si>
  <si>
    <t>Satu Mare engineering factory</t>
  </si>
  <si>
    <t>marine equipment factory Romania; deck machinery manufacturing facility</t>
  </si>
  <si>
    <t>Wide factory shot with people working, plus portraits</t>
  </si>
  <si>
    <t>The facility; the disciplines; portraits; the walk-through video</t>
  </si>
  <si>
    <t>See our vacancies</t>
  </si>
  <si>
    <t>A-03</t>
  </si>
  <si>
    <t>QHSE</t>
  </si>
  <si>
    <t>/about/qhse/</t>
  </si>
  <si>
    <t>Quality, Health, Safety and Environment | RTG</t>
  </si>
  <si>
    <t>How RTG manages quality, safety and environmental responsibility across design, manufacture, testing and site work, and the standards it is assessed against.</t>
  </si>
  <si>
    <t>marine manufacturer QHSE</t>
  </si>
  <si>
    <t>ISO 9001 marine fabrication; offshore equipment safety management</t>
  </si>
  <si>
    <t>Safety in practice on the shop floor, not a poster</t>
  </si>
  <si>
    <t>Policy summary; standards held; how it is audited; downloadable policy</t>
  </si>
  <si>
    <t>Download our QHSE policy</t>
  </si>
  <si>
    <t>A-04</t>
  </si>
  <si>
    <t>Sustainability</t>
  </si>
  <si>
    <t>/about/sustainability/</t>
  </si>
  <si>
    <t>Sustainability and Ocean Research | RTG</t>
  </si>
  <si>
    <t>Equipment designed for long service life and refurbishment rather than replacement, supporting ocean research and offshore renewable energy.</t>
  </si>
  <si>
    <t>Sustainability, for a company that builds steel</t>
  </si>
  <si>
    <t>sustainable marine manufacturing</t>
  </si>
  <si>
    <t>ocean research equipment sustainability; equipment life extension</t>
  </si>
  <si>
    <t>Research vessel at sea, restrained treatment</t>
  </si>
  <si>
    <t>Design life; refurbishment over replacement; what the equipment enables; no greenwash</t>
  </si>
  <si>
    <t>Read about refurbishment</t>
  </si>
  <si>
    <t>A-05</t>
  </si>
  <si>
    <t>Careers</t>
  </si>
  <si>
    <t>/about/careers/</t>
  </si>
  <si>
    <t>Careers at RTG | Engineering Jobs in Satu Mare and the UK</t>
  </si>
  <si>
    <t>Welding, mechanical, hydraulic, electrical, automation and design roles in Satu Mare and the UK. See what we build and who you would build it with.</t>
  </si>
  <si>
    <t>Build things that go to sea</t>
  </si>
  <si>
    <t>engineering jobs Satu Mare</t>
  </si>
  <si>
    <t>welder jobs Romania marine; marine engineering careers; automation engineer jobs</t>
  </si>
  <si>
    <t>JobPosting</t>
  </si>
  <si>
    <t>People at work, faces visible, genuinely appealing</t>
  </si>
  <si>
    <t>Why here; the disciplines; training and qualification; current vacancies; apply</t>
  </si>
  <si>
    <t>See current vacancies</t>
  </si>
  <si>
    <t>X-01</t>
  </si>
  <si>
    <t>Contact</t>
  </si>
  <si>
    <t>/contact/</t>
  </si>
  <si>
    <t>Contact RTG | UK and Romania Offices</t>
  </si>
  <si>
    <t>Talk to our UK commercial team or our factory at Satu Mare in Romania, or find your regional agent across the Americas and Asia Pacific. We answer quickly.</t>
  </si>
  <si>
    <t>Contact us</t>
  </si>
  <si>
    <t>contact marine equipment manufacturer</t>
  </si>
  <si>
    <t>deck machinery supplier contact; winch manufacturer UK</t>
  </si>
  <si>
    <t>ContactPage</t>
  </si>
  <si>
    <t>Office or factory exterior, map alongside</t>
  </si>
  <si>
    <t>Both offices with people named; phone and email; map; enquiry routing</t>
  </si>
  <si>
    <t>Send an enquiry</t>
  </si>
  <si>
    <t>X-02</t>
  </si>
  <si>
    <t>Agents - Americas &amp; APAC</t>
  </si>
  <si>
    <t>/contact/agents/</t>
  </si>
  <si>
    <t>Our Agents in the Americas and Asia Pacific | RTG</t>
  </si>
  <si>
    <t>Local representation for sales, support and spares across the Americas and Asia Pacific, backed directly by the engineers who designed and built the equipment.</t>
  </si>
  <si>
    <t>Where to find us</t>
  </si>
  <si>
    <t>marine equipment agents worldwide</t>
  </si>
  <si>
    <t>offshore equipment representative Americas; deck machinery agent Asia Pacific</t>
  </si>
  <si>
    <t>World map, honestly marked</t>
  </si>
  <si>
    <t>Agent list by region with contact details; what agents can do; escalation to RTG</t>
  </si>
  <si>
    <t>Find your regional contact</t>
  </si>
  <si>
    <t>X-03</t>
  </si>
  <si>
    <t>Request a Quotation</t>
  </si>
  <si>
    <t>/contact/request-a-quotation/</t>
  </si>
  <si>
    <t>Request a Quotation | RTG</t>
  </si>
  <si>
    <t>Tell us the duty, the vessel and the timescale. We will come back with a proposed configuration and an indicative price, and say what we still need.</t>
  </si>
  <si>
    <t>Request a quotation</t>
  </si>
  <si>
    <t>marine winch quotation</t>
  </si>
  <si>
    <t>deck equipment quote; custom winch price enquiry</t>
  </si>
  <si>
    <t>What to tell us; turnaround commitment; form</t>
  </si>
  <si>
    <t>X-04</t>
  </si>
  <si>
    <t>Aftersales &amp; Spares</t>
  </si>
  <si>
    <t>/contact/aftersales/</t>
  </si>
  <si>
    <t>Aftersales, Spares and Field Service | RTG</t>
  </si>
  <si>
    <t>Existing equipment, urgent spares or a technical problem at sea. Tell us the equipment and the vessel and we will route it to the right engineer.</t>
  </si>
  <si>
    <t>Aftersales and spares</t>
  </si>
  <si>
    <t>marine winch spares enquiry</t>
  </si>
  <si>
    <t>deck machinery field service request; urgent offshore spares</t>
  </si>
  <si>
    <t>Response commitment; what to tell us; out of hours; form</t>
  </si>
  <si>
    <t>Z-01</t>
  </si>
  <si>
    <t>Legal</t>
  </si>
  <si>
    <t>Privacy Notice</t>
  </si>
  <si>
    <t>/privacy/</t>
  </si>
  <si>
    <t>Privacy Notice | RTG</t>
  </si>
  <si>
    <t>How RTG collects, uses and stores personal data submitted through this website, and your rights under UK and EU data protection law.</t>
  </si>
  <si>
    <t>Privacy notice</t>
  </si>
  <si>
    <t>privacy notice</t>
  </si>
  <si>
    <t>data protection notice</t>
  </si>
  <si>
    <t>WebPage</t>
  </si>
  <si>
    <t>None</t>
  </si>
  <si>
    <t>Lawful basis; what is collected; retention; rights; contact for DPO</t>
  </si>
  <si>
    <t>Z-02</t>
  </si>
  <si>
    <t>Cookie Policy</t>
  </si>
  <si>
    <t>/cookies/</t>
  </si>
  <si>
    <t>Cookie Policy | RTG</t>
  </si>
  <si>
    <t>The cookies and similar technologies used on this website, what each is for, and how to change your consent at any time.</t>
  </si>
  <si>
    <t>Cookie policy</t>
  </si>
  <si>
    <t>cookie policy</t>
  </si>
  <si>
    <t>cookie consent</t>
  </si>
  <si>
    <t>Categories; each cookie named; consent management link</t>
  </si>
  <si>
    <t>Manage preferences</t>
  </si>
  <si>
    <t>Z-03</t>
  </si>
  <si>
    <t>Terms of Use</t>
  </si>
  <si>
    <t>/terms/</t>
  </si>
  <si>
    <t>Terms of Use and Copyright | RTG</t>
  </si>
  <si>
    <t>Terms governing use of this website and of documentation issued through it, including copyright in RTG drawings and technical publications.</t>
  </si>
  <si>
    <t>Terms of use</t>
  </si>
  <si>
    <t>website terms of use</t>
  </si>
  <si>
    <t>copyright technical drawings; documentation terms</t>
  </si>
  <si>
    <t>Use of site; copyright in drawings and datasheets; confidentiality of issued documents</t>
  </si>
  <si>
    <t>Z-04</t>
  </si>
  <si>
    <t>Accessibility</t>
  </si>
  <si>
    <t>/accessibility/</t>
  </si>
  <si>
    <t>Accessibility Statement | RTG</t>
  </si>
  <si>
    <t>How this website is designed to be usable by everyone, the standard it targets, and how to report a problem.</t>
  </si>
  <si>
    <t>accessibility statement</t>
  </si>
  <si>
    <t>WCAG accessibility</t>
  </si>
  <si>
    <t>Standard targeted; known issues; feedback route</t>
  </si>
  <si>
    <t>Report an issue</t>
  </si>
  <si>
    <t>TOTALS</t>
  </si>
  <si>
    <t>P1 pages</t>
  </si>
  <si>
    <t>total words to write</t>
  </si>
  <si>
    <t>title tags over 60 chars - fix these</t>
  </si>
  <si>
    <t>meta descriptions over 160 chars</t>
  </si>
  <si>
    <t>Item</t>
  </si>
  <si>
    <t>Rule</t>
  </si>
  <si>
    <t>Why / current state</t>
  </si>
  <si>
    <t>GLOBAL RULES — apply to every page</t>
  </si>
  <si>
    <t>Pattern: [What it is] | [Qualifier] | RTG. Target 50-60 characters. Brand LAST, never first.</t>
  </si>
  <si>
    <t>Current site does the opposite: 'Romica Engineering LTD - MULTIFUNCTIONAL WINCHES'. Wrong brand, least useful words first.</t>
  </si>
  <si>
    <t>150-160 characters. Must contain the primary keyword and end with a reason to click. Never duplicated between pages.</t>
  </si>
  <si>
    <t>No page on the current site carries this tag at all.</t>
  </si>
  <si>
    <t>Meta keywords</t>
  </si>
  <si>
    <t>Do not add. Ignored by all major search engines.</t>
  </si>
  <si>
    <t>Explicitly not required.</t>
  </si>
  <si>
    <t>Canonical</t>
  </si>
  <si>
    <t>Self-referencing &lt;link rel='canonical'&gt; on every page, absolute URL, https, chosen host only.</t>
  </si>
  <si>
    <t>Currently absent site-wide. Two domains resolve.</t>
  </si>
  <si>
    <t>Exactly one per page. Must state the page subject in the buyer's language, not RTG's.</t>
  </si>
  <si>
    <t>Homepage currently carries three H1s.</t>
  </si>
  <si>
    <t>Open Graph</t>
  </si>
  <si>
    <t>og:title, og:description, og:image (1200x630), og:url, og:type on every page. Twitter card summary_large_image.</t>
  </si>
  <si>
    <t>Absent site-wide. Blocks the LinkedIn content calendar from rendering previews.</t>
  </si>
  <si>
    <t>Structured data</t>
  </si>
  <si>
    <t>Organization on every page. Product on equipment pages with the Tier 1 spec figures. BreadcrumbList site-wide. Article on notes and case studies.</t>
  </si>
  <si>
    <t>Absent site-wide.</t>
  </si>
  <si>
    <t>Image alt text</t>
  </si>
  <si>
    <t>Descriptive alt on every content image. Decorative images alt=''.</t>
  </si>
  <si>
    <t>8 of 8 homepage images and 9 of 9 build-to-print images currently have none.</t>
  </si>
  <si>
    <t>URL</t>
  </si>
  <si>
    <t>Lower case, hyphenated, no .php, no query strings. Trailing slash consistent.</t>
  </si>
  <si>
    <t>Current site uses .php extensions throughout - 301 map required.</t>
  </si>
  <si>
    <t>Language</t>
  </si>
  <si>
    <t>lang='en' present. Add hreflang only if a Romanian version is built.</t>
  </si>
  <si>
    <t>lang is already correct.</t>
  </si>
  <si>
    <t>Sitemap</t>
  </si>
  <si>
    <t>Regenerate against https and the chosen host. Declare in robots.txt. Include news once migrated.</t>
  </si>
  <si>
    <t>Current sitemap.xml lists 39 URLs on http://romica.co.uk - wrong protocol and wrong host.</t>
  </si>
  <si>
    <t>robots.txt</t>
  </si>
  <si>
    <t>Allow the site. Disallow /resources/datasheets/ file paths. Exclude AI training crawlers. Declare the sitemap.</t>
  </si>
  <si>
    <t>Currently a single line, 'User-agent: *', with no directives at all.</t>
  </si>
  <si>
    <t>TERMINOLOGY DECISION</t>
  </si>
  <si>
    <t>Use 'Sectors' at top level</t>
  </si>
  <si>
    <t>The market a buyer identifies with: offshore wind, oceanographic research, defence. This is how buyers describe themselves.</t>
  </si>
  <si>
    <t>Replaces the current SECTORS menu, which confusingly contains delivery models rather than sectors.</t>
  </si>
  <si>
    <t>Use 'Applications' as a facet</t>
  </si>
  <si>
    <t>What the equipment is used for: CPT deployment, piston coring, ROV launch, cable lay. Shown as a cross-cut on equipment pages only.</t>
  </si>
  <si>
    <t>Both terms are correct for different things. Using each properly avoids the current confusion.</t>
  </si>
  <si>
    <t>Retire 'Build to Print'</t>
  </si>
  <si>
    <t>Externally. It reads as 'fabrication shop' and undersells tiers 2 to 4. Use 'Contract Manufacturing'.</t>
  </si>
  <si>
    <t>Internal shorthand may remain.</t>
  </si>
  <si>
    <t>Keyword</t>
  </si>
  <si>
    <t>Intent</t>
  </si>
  <si>
    <t>Target page ID</t>
  </si>
  <si>
    <t>Priority</t>
  </si>
  <si>
    <t>Current RTG coverage</t>
  </si>
  <si>
    <t>Commercial</t>
  </si>
  <si>
    <t>High</t>
  </si>
  <si>
    <t>None today - RTG has no refurbishment page at all</t>
  </si>
  <si>
    <t>deck machinery overhaul</t>
  </si>
  <si>
    <t>marine winch rebuild</t>
  </si>
  <si>
    <t>Medium</t>
  </si>
  <si>
    <t>LARS refurbishment</t>
  </si>
  <si>
    <t>Weak - buried product page</t>
  </si>
  <si>
    <t>CPT winch</t>
  </si>
  <si>
    <t>Weak</t>
  </si>
  <si>
    <t>Page exists but is empty</t>
  </si>
  <si>
    <t>tension control winch</t>
  </si>
  <si>
    <t>Technical</t>
  </si>
  <si>
    <t>Exists, undertitled</t>
  </si>
  <si>
    <t>CTD winch</t>
  </si>
  <si>
    <t>umbilical winch</t>
  </si>
  <si>
    <t>Exists</t>
  </si>
  <si>
    <t>deep tow winch</t>
  </si>
  <si>
    <t>A-frame stern vessel</t>
  </si>
  <si>
    <t>portable survey spread</t>
  </si>
  <si>
    <t>Low</t>
  </si>
  <si>
    <t>cable laying equipment</t>
  </si>
  <si>
    <t>None - site says 'build to print'</t>
  </si>
  <si>
    <t>outsourced deck machinery manufacture</t>
  </si>
  <si>
    <t>subcontract winch manufacture</t>
  </si>
  <si>
    <t>Exists as 'welding'</t>
  </si>
  <si>
    <t>EN ISO 3834 fabricator</t>
  </si>
  <si>
    <t>Trust</t>
  </si>
  <si>
    <t>Mentioned, not targeted</t>
  </si>
  <si>
    <t>coded welding services</t>
  </si>
  <si>
    <t>hydraulic pipework fabrication</t>
  </si>
  <si>
    <t>control panel build marine</t>
  </si>
  <si>
    <t>load testing 150 tonnes</t>
  </si>
  <si>
    <t>Mentioned only</t>
  </si>
  <si>
    <t>class witnessed testing</t>
  </si>
  <si>
    <t>PLC commissioning offshore equipment</t>
  </si>
  <si>
    <t>melt and pour documentation</t>
  </si>
  <si>
    <t>Compliance</t>
  </si>
  <si>
    <t>NDA fabrication IP protection</t>
  </si>
  <si>
    <t>marine steel subcontractor</t>
  </si>
  <si>
    <t>sea fastening fabrication</t>
  </si>
  <si>
    <t>approved fabricator shipyard</t>
  </si>
  <si>
    <t>Bureau Veritas Mode II workshop</t>
  </si>
  <si>
    <t>ISO 9606 welder qualification</t>
  </si>
  <si>
    <t>Mentioned</t>
  </si>
  <si>
    <t>newbuild vessel deck machinery</t>
  </si>
  <si>
    <t>winch line pull layers explained</t>
  </si>
  <si>
    <t>Informational</t>
  </si>
  <si>
    <t>None - strong content opportunity</t>
  </si>
  <si>
    <t>Lebus grooving explained</t>
  </si>
  <si>
    <t>render test winch</t>
  </si>
  <si>
    <t>squeeze tension vs line tension</t>
  </si>
  <si>
    <t>lead off angle winch</t>
  </si>
  <si>
    <t>deck loading calculation winch</t>
  </si>
  <si>
    <t>Recruitment</t>
  </si>
  <si>
    <t>None - and welder retention is a live risk</t>
  </si>
  <si>
    <t>High-priority keywords with no coverage today:</t>
  </si>
  <si>
    <t>Ref</t>
  </si>
  <si>
    <t>Use</t>
  </si>
  <si>
    <t>Direction</t>
  </si>
  <si>
    <t>Format</t>
  </si>
  <si>
    <t>Where it comes from</t>
  </si>
  <si>
    <t>IMG-01</t>
  </si>
  <si>
    <t>Homepage hero</t>
  </si>
  <si>
    <t>Winch or LARS working on deck at sea, crew member in shot for scale, real sea state</t>
  </si>
  <si>
    <t>Landscape 2400x1200</t>
  </si>
  <si>
    <t>Satu Mare cannot supply this - needs a client vessel or an archive frame</t>
  </si>
  <si>
    <t>IMG-02</t>
  </si>
  <si>
    <t>Sector: geotechnical</t>
  </si>
  <si>
    <t>Corer or CPT unit being recovered, wire under visible tension</t>
  </si>
  <si>
    <t>Landscape 1600x900</t>
  </si>
  <si>
    <t>Client vessel or archive</t>
  </si>
  <si>
    <t>IMG-03</t>
  </si>
  <si>
    <t>Sector: survey</t>
  </si>
  <si>
    <t>Towfish or CTD going over the stern through an A-frame</t>
  </si>
  <si>
    <t>IMG-04</t>
  </si>
  <si>
    <t>Sector: wind and cable</t>
  </si>
  <si>
    <t>Tensioner on deck with cable running, or a cable carousel</t>
  </si>
  <si>
    <t>IMG-05</t>
  </si>
  <si>
    <t>Equipment: grooved drum</t>
  </si>
  <si>
    <t>Close, shallow depth of field, Lebus grooving clearly legible</t>
  </si>
  <si>
    <t>Satu Mare - shoot on the shop floor</t>
  </si>
  <si>
    <t>IMG-06</t>
  </si>
  <si>
    <t>Equipment: level wind</t>
  </si>
  <si>
    <t>Level wind assembly, ideally mid-motion at low speed</t>
  </si>
  <si>
    <t>Landscape + 20s video</t>
  </si>
  <si>
    <t>Satu Mare</t>
  </si>
  <si>
    <t>IMG-07</t>
  </si>
  <si>
    <t>Test facility</t>
  </si>
  <si>
    <t>Machine under load on the stand, certified weights and instruments visible</t>
  </si>
  <si>
    <t>Landscape 2000x1125 + video</t>
  </si>
  <si>
    <t>Satu Mare - the single most valuable asset to shoot</t>
  </si>
  <si>
    <t>IMG-08</t>
  </si>
  <si>
    <t>Welding</t>
  </si>
  <si>
    <t>Welder at work, arc light, correct PPE, honest not staged</t>
  </si>
  <si>
    <t>Portrait and landscape</t>
  </si>
  <si>
    <t>IMG-09</t>
  </si>
  <si>
    <t>Weld traceability</t>
  </si>
  <si>
    <t>Punch mark or weld map close-up, stamped numbers legible</t>
  </si>
  <si>
    <t>Macro 1600x1600</t>
  </si>
  <si>
    <t>Satu Mare - proves the traceability claim visually</t>
  </si>
  <si>
    <t>IMG-10</t>
  </si>
  <si>
    <t>NDT inspection</t>
  </si>
  <si>
    <t>UT or MPI inspection in progress</t>
  </si>
  <si>
    <t>IMG-11</t>
  </si>
  <si>
    <t>Machining</t>
  </si>
  <si>
    <t>Large part on the CNC bed, scale evident against a person</t>
  </si>
  <si>
    <t>Landscape 2000x1125</t>
  </si>
  <si>
    <t>IMG-12</t>
  </si>
  <si>
    <t>Mechanical assembly</t>
  </si>
  <si>
    <t>Drum and shaft being lowered into bearings, crane or hoist in frame</t>
  </si>
  <si>
    <t>Satu Mare - evidence for Tier 2</t>
  </si>
  <si>
    <t>IMG-13</t>
  </si>
  <si>
    <t>Hydraulic build</t>
  </si>
  <si>
    <t>Pipework and manifolds, clean and ordered, flushing rig if possible</t>
  </si>
  <si>
    <t>Satu Mare - evidence for Tier 3, currently no imagery exists</t>
  </si>
  <si>
    <t>IMG-14</t>
  </si>
  <si>
    <t>Electrical build</t>
  </si>
  <si>
    <t>Control panel being wired, terminations and labelling visible</t>
  </si>
  <si>
    <t>Satu Mare - evidence for Tier 3</t>
  </si>
  <si>
    <t>IMG-15</t>
  </si>
  <si>
    <t>Automation</t>
  </si>
  <si>
    <t>HMI screen live during function testing, engineer at the console</t>
  </si>
  <si>
    <t>Satu Mare - evidence for Tier 4</t>
  </si>
  <si>
    <t>IMG-16</t>
  </si>
  <si>
    <t>Refurbishment before/after</t>
  </si>
  <si>
    <t>Same machine, same angle, before and after. Matched framing is essential</t>
  </si>
  <si>
    <t>Two matched landscapes</t>
  </si>
  <si>
    <t>Satu Mare archive - check 21REL-05 records</t>
  </si>
  <si>
    <t>IMG-17</t>
  </si>
  <si>
    <t>Containerised spread</t>
  </si>
  <si>
    <t>Skid or container being craned, slings and certified lugs visible</t>
  </si>
  <si>
    <t>Satu Mare or client site</t>
  </si>
  <si>
    <t>IMG-18</t>
  </si>
  <si>
    <t>Shipping</t>
  </si>
  <si>
    <t>Crated machine loaded on a truck leaving the facility</t>
  </si>
  <si>
    <t>IMG-19</t>
  </si>
  <si>
    <t>Facility exterior</t>
  </si>
  <si>
    <t>The Satu Mare building, honest and unposed, ideally with activity</t>
  </si>
  <si>
    <t>IMG-20</t>
  </si>
  <si>
    <t>Factory walk-through</t>
  </si>
  <si>
    <t>One continuous walking shot, gate to test stand, ambient sound only</t>
  </si>
  <si>
    <t>Video 60-90s</t>
  </si>
  <si>
    <t>Satu Mare - highest trust per hour spent</t>
  </si>
  <si>
    <t>IMG-21</t>
  </si>
  <si>
    <t>Portraits</t>
  </si>
  <si>
    <t>Individual portraits: welder, design engineer, commissioning engineer, apprentice</t>
  </si>
  <si>
    <t>Portrait 1200x1500</t>
  </si>
  <si>
    <t>Satu Mare - consent required from each person</t>
  </si>
  <si>
    <t>IMG-22</t>
  </si>
  <si>
    <t>Founders</t>
  </si>
  <si>
    <t>The founders, honest and unposed, for the About page</t>
  </si>
  <si>
    <t>UK</t>
  </si>
  <si>
    <t>IMG-23</t>
  </si>
  <si>
    <t>Isometric line drawings</t>
  </si>
  <si>
    <t>Rendered line drawings of each equipment family, consistent style, on a light ground</t>
  </si>
  <si>
    <t>Vector, published as raster</t>
  </si>
  <si>
    <t>Generated from existing Inventor models - near zero cost</t>
  </si>
  <si>
    <t>IMG-24</t>
  </si>
  <si>
    <t>OG social cards</t>
  </si>
  <si>
    <t>1200x630 per section, brand-consistent, text legible at thumbnail size</t>
  </si>
  <si>
    <t>1200x630 x 12</t>
  </si>
  <si>
    <t>Designer to produce from the shot set</t>
  </si>
  <si>
    <t>NOTE</t>
  </si>
  <si>
    <t>18 of these 24 can be shot in one day at Satu Mare with a brief and a photographer. Do that before the site build, not after.</t>
  </si>
  <si>
    <t>Detail</t>
  </si>
  <si>
    <t>HOW TO USE THIS WORKBOOK</t>
  </si>
  <si>
    <t>Page Map</t>
  </si>
  <si>
    <t>The full page inventory. Columns I to Q are the brief for the copywriter and the developer. Column V is yours to update as work completes - pick from the dropdown.</t>
  </si>
  <si>
    <t>Len columns (J, L)</t>
  </si>
  <si>
    <t>Live character counts. Keep title tags at or under 60 and meta descriptions between 150 and 160. The totals under the table count any that breach.</t>
  </si>
  <si>
    <t>Avatar colours</t>
  </si>
  <si>
    <t>Cream = AV01 The Operator. Blue = AV02 The Design Authority. Terracotta = AV03 The Yard and Integrator. Grey = all avatars.</t>
  </si>
  <si>
    <t>Open = indexed and public. Gated = a form stands in front of it and the identity is captured. See the Build Specification for what is never published.</t>
  </si>
  <si>
    <t>P1 = build first, it either earns revenue or unblocks a sale. P2 = second phase. P3 = when time allows.</t>
  </si>
  <si>
    <t>Rewrite = content exists on the current site and needs reworking. New = does not exist. Migrate = move from the WordPress news subsite.</t>
  </si>
  <si>
    <t>WHAT IS DELIBERATELY NOT IN THIS WORKBOOK</t>
  </si>
  <si>
    <t>Dimensioned GA drawings</t>
  </si>
  <si>
    <t>Never published. Issued only to a named recipient against a named project, watermarked and rasterised.</t>
  </si>
  <si>
    <t>Internal drum proportions</t>
  </si>
  <si>
    <t>Drum core diameter, drum length and flange diameter come off the public spec tables. Publish the overall bounding envelope instead.</t>
  </si>
  <si>
    <t>Component makes and part numbers</t>
  </si>
  <si>
    <t>Slip ring models, gearmotor manufacturers, welding machine models. Replace with generic descriptions.</t>
  </si>
  <si>
    <t>ASSUMPTIONS IN THIS WORKBOOK</t>
  </si>
  <si>
    <t>Keyword priority</t>
  </si>
  <si>
    <t>Assessed from RTG's product range, the avatar definitions and the August 2026 market research. It is judgement, not search volume data - commission a volume check before committing budget.</t>
  </si>
  <si>
    <t>Word counts</t>
  </si>
  <si>
    <t>Targets for planning effort, not rules. Roughly 30,000 words in total across the site.</t>
  </si>
  <si>
    <t>Meta descriptions</t>
  </si>
  <si>
    <t>Written here as first drafts. They are accurate to RTG's published capability but should be checked by someone who knows the current spec figures.</t>
  </si>
  <si>
    <t>Case study content</t>
  </si>
  <si>
    <t>CS-02 draws on project 21REL-05 as described by RTG. All other case studies contain marked placeholders requiring RTG to supply real project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</si>
</sst>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b/>
      <sz val="9"/>
      <color rgb="FFA02F12"/>
      <name val="Arial"/>
      <charset val="1"/>
    </font>
    <font>
      <b/>
      <sz val="9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2202B"/>
        <bgColor rgb="FF333333"/>
      </patternFill>
    </fill>
    <fill>
      <patternFill patternType="solid">
        <fgColor rgb="FFE3EAEF"/>
        <bgColor rgb="FFECF0FB"/>
      </patternFill>
    </fill>
    <fill>
      <patternFill patternType="solid">
        <fgColor rgb="FFFBF3DC"/>
        <bgColor rgb="FFFBEBE4"/>
      </patternFill>
    </fill>
    <fill>
      <patternFill patternType="solid">
        <fgColor rgb="FFF2B705"/>
        <bgColor rgb="FFFF9900"/>
      </patternFill>
    </fill>
    <fill>
      <patternFill patternType="solid">
        <fgColor rgb="FFECF0FB"/>
        <bgColor rgb="FFE3EAEF"/>
      </patternFill>
    </fill>
    <fill>
      <patternFill patternType="solid">
        <fgColor rgb="FFFBEBE4"/>
        <bgColor rgb="FFFBF3DC"/>
      </patternFill>
    </fill>
  </fills>
  <borders count="2">
    <border>
      <left/>
      <right/>
      <top/>
      <bottom/>
      <diagonal/>
    </border>
    <border>
      <left style="thin">
        <color rgb="FFC4D1D9"/>
      </left>
      <right style="thin">
        <color rgb="FFC4D1D9"/>
      </right>
      <top style="thin">
        <color rgb="FFC4D1D9"/>
      </top>
      <bottom style="thin">
        <color rgb="FFC4D1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4" fillId="0" borderId="0" xfId="0" applyFont="1"/>
    <xf numFmtId="0" fontId="2" fillId="0" borderId="0" xfId="0" applyFont="1"/>
    <xf numFmtId="0" fontId="1" fillId="2" borderId="0" xfId="0" applyFont="1" applyFill="1" applyAlignment="1">
      <alignment vertical="top" wrapText="1"/>
    </xf>
    <xf numFmtId="0" fontId="4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3DC"/>
      <rgbColor rgb="FFECF0FB"/>
      <rgbColor rgb="FF660066"/>
      <rgbColor rgb="FFFF8080"/>
      <rgbColor rgb="FF0066CC"/>
      <rgbColor rgb="FFC4D1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AEF"/>
      <rgbColor rgb="FFCCFFCC"/>
      <rgbColor rgb="FFFBEBE4"/>
      <rgbColor rgb="FF99CCFF"/>
      <rgbColor rgb="FFFF99CC"/>
      <rgbColor rgb="FFCC99FF"/>
      <rgbColor rgb="FFFFCC99"/>
      <rgbColor rgb="FF3366FF"/>
      <rgbColor rgb="FF33CCCC"/>
      <rgbColor rgb="FF99CC00"/>
      <rgbColor rgb="FFF2B705"/>
      <rgbColor rgb="FFFF9900"/>
      <rgbColor rgb="FFFF6600"/>
      <rgbColor rgb="FF666699"/>
      <rgbColor rgb="FF969696"/>
      <rgbColor rgb="FF003366"/>
      <rgbColor rgb="FF339966"/>
      <rgbColor rgb="FF12202B"/>
      <rgbColor rgb="FF333300"/>
      <rgbColor rgb="FFA02F12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2" sqref="C12"/>
    </sheetView>
  </sheetViews>
  <sheetFormatPr defaultColWidth="8.6640625" defaultRowHeight="14.25" x14ac:dyDescent="0.45"/>
  <cols>
    <col min="1" max="1" width="9" customWidth="1"/>
    <col min="2" max="2" width="20" customWidth="1"/>
    <col min="3" max="3" width="30" customWidth="1"/>
    <col min="4" max="4" width="34" customWidth="1"/>
    <col min="5" max="5" width="13" customWidth="1"/>
    <col min="6" max="6" width="8" customWidth="1"/>
    <col min="7" max="7" width="9" customWidth="1"/>
    <col min="8" max="8" width="6" customWidth="1"/>
    <col min="9" max="9" width="56" customWidth="1"/>
    <col min="10" max="10" width="6" customWidth="1"/>
    <col min="11" max="11" width="70" customWidth="1"/>
    <col min="12" max="12" width="6" customWidth="1"/>
    <col min="13" max="13" width="38" customWidth="1"/>
    <col min="14" max="14" width="30" customWidth="1"/>
    <col min="15" max="15" width="44" customWidth="1"/>
    <col min="16" max="16" width="15" customWidth="1"/>
    <col min="17" max="17" width="40" customWidth="1"/>
    <col min="18" max="18" width="60" customWidth="1"/>
    <col min="19" max="19" width="30" customWidth="1"/>
    <col min="20" max="20" width="7" customWidth="1"/>
    <col min="21" max="21" width="22" customWidth="1"/>
    <col min="22" max="22" width="12" customWidth="1"/>
  </cols>
  <sheetData>
    <row r="1" spans="1:22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9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ht="23.25" x14ac:dyDescent="0.45">
      <c r="A2" s="2" t="s">
        <v>21</v>
      </c>
      <c r="B2" s="2" t="s">
        <v>22</v>
      </c>
      <c r="C2" s="2" t="s">
        <v>23</v>
      </c>
      <c r="D2" s="2" t="s">
        <v>24</v>
      </c>
      <c r="E2" s="2" t="s">
        <v>22</v>
      </c>
      <c r="F2" s="3" t="s">
        <v>25</v>
      </c>
      <c r="G2" s="2" t="s">
        <v>26</v>
      </c>
      <c r="H2" s="4" t="s">
        <v>27</v>
      </c>
      <c r="I2" s="2" t="s">
        <v>28</v>
      </c>
      <c r="J2" s="2">
        <f t="shared" ref="J2:J33" si="0">LEN(I2)</f>
        <v>50</v>
      </c>
      <c r="K2" s="2" t="s">
        <v>29</v>
      </c>
      <c r="L2" s="2">
        <f t="shared" ref="L2:L33" si="1">LEN(K2)</f>
        <v>157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>
        <v>350</v>
      </c>
      <c r="U2" s="2" t="s">
        <v>37</v>
      </c>
      <c r="V2" s="2" t="s">
        <v>38</v>
      </c>
    </row>
    <row r="3" spans="1:22" ht="23.25" x14ac:dyDescent="0.45">
      <c r="A3" s="2" t="s">
        <v>39</v>
      </c>
      <c r="B3" s="2" t="s">
        <v>40</v>
      </c>
      <c r="C3" s="2" t="s">
        <v>41</v>
      </c>
      <c r="D3" s="2" t="s">
        <v>42</v>
      </c>
      <c r="E3" s="2" t="s">
        <v>43</v>
      </c>
      <c r="F3" s="3" t="s">
        <v>25</v>
      </c>
      <c r="G3" s="2" t="s">
        <v>26</v>
      </c>
      <c r="H3" s="4" t="s">
        <v>27</v>
      </c>
      <c r="I3" s="2" t="s">
        <v>44</v>
      </c>
      <c r="J3" s="2">
        <f t="shared" si="0"/>
        <v>52</v>
      </c>
      <c r="K3" s="2" t="s">
        <v>45</v>
      </c>
      <c r="L3" s="2">
        <f t="shared" si="1"/>
        <v>149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2" t="s">
        <v>51</v>
      </c>
      <c r="S3" s="2" t="s">
        <v>52</v>
      </c>
      <c r="T3" s="2">
        <v>250</v>
      </c>
      <c r="U3" s="2" t="s">
        <v>53</v>
      </c>
      <c r="V3" s="2" t="s">
        <v>38</v>
      </c>
    </row>
    <row r="4" spans="1:22" ht="23.25" x14ac:dyDescent="0.45">
      <c r="A4" s="2" t="s">
        <v>54</v>
      </c>
      <c r="B4" s="2" t="s">
        <v>40</v>
      </c>
      <c r="C4" s="2" t="s">
        <v>55</v>
      </c>
      <c r="D4" s="2" t="s">
        <v>56</v>
      </c>
      <c r="E4" s="2" t="s">
        <v>57</v>
      </c>
      <c r="F4" s="5" t="s">
        <v>58</v>
      </c>
      <c r="G4" s="2" t="s">
        <v>26</v>
      </c>
      <c r="H4" s="4" t="s">
        <v>27</v>
      </c>
      <c r="I4" s="2" t="s">
        <v>59</v>
      </c>
      <c r="J4" s="2">
        <f t="shared" si="0"/>
        <v>44</v>
      </c>
      <c r="K4" s="2" t="s">
        <v>60</v>
      </c>
      <c r="L4" s="2">
        <f t="shared" si="1"/>
        <v>160</v>
      </c>
      <c r="M4" s="2" t="s">
        <v>61</v>
      </c>
      <c r="N4" s="2" t="s">
        <v>62</v>
      </c>
      <c r="O4" s="2" t="s">
        <v>63</v>
      </c>
      <c r="P4" s="2" t="s">
        <v>64</v>
      </c>
      <c r="Q4" s="2" t="s">
        <v>65</v>
      </c>
      <c r="R4" s="2" t="s">
        <v>66</v>
      </c>
      <c r="S4" s="2" t="s">
        <v>67</v>
      </c>
      <c r="T4" s="2">
        <v>700</v>
      </c>
      <c r="U4" s="2" t="s">
        <v>53</v>
      </c>
      <c r="V4" s="2" t="s">
        <v>38</v>
      </c>
    </row>
    <row r="5" spans="1:22" ht="23.25" x14ac:dyDescent="0.45">
      <c r="A5" s="2" t="s">
        <v>68</v>
      </c>
      <c r="B5" s="2" t="s">
        <v>40</v>
      </c>
      <c r="C5" s="2" t="s">
        <v>69</v>
      </c>
      <c r="D5" s="2" t="s">
        <v>70</v>
      </c>
      <c r="E5" s="2" t="s">
        <v>57</v>
      </c>
      <c r="F5" s="5" t="s">
        <v>58</v>
      </c>
      <c r="G5" s="2" t="s">
        <v>26</v>
      </c>
      <c r="H5" s="4" t="s">
        <v>27</v>
      </c>
      <c r="I5" s="2" t="s">
        <v>71</v>
      </c>
      <c r="J5" s="2">
        <f t="shared" si="0"/>
        <v>49</v>
      </c>
      <c r="K5" s="2" t="s">
        <v>72</v>
      </c>
      <c r="L5" s="2">
        <f t="shared" si="1"/>
        <v>144</v>
      </c>
      <c r="M5" s="2" t="s">
        <v>73</v>
      </c>
      <c r="N5" s="2" t="s">
        <v>74</v>
      </c>
      <c r="O5" s="2" t="s">
        <v>75</v>
      </c>
      <c r="P5" s="2" t="s">
        <v>64</v>
      </c>
      <c r="Q5" s="2" t="s">
        <v>76</v>
      </c>
      <c r="R5" s="2" t="s">
        <v>77</v>
      </c>
      <c r="S5" s="2" t="s">
        <v>78</v>
      </c>
      <c r="T5" s="2">
        <v>900</v>
      </c>
      <c r="U5" s="2" t="s">
        <v>53</v>
      </c>
      <c r="V5" s="2" t="s">
        <v>38</v>
      </c>
    </row>
    <row r="6" spans="1:22" ht="23.25" x14ac:dyDescent="0.45">
      <c r="A6" s="2" t="s">
        <v>79</v>
      </c>
      <c r="B6" s="2" t="s">
        <v>40</v>
      </c>
      <c r="C6" s="2" t="s">
        <v>80</v>
      </c>
      <c r="D6" s="2" t="s">
        <v>81</v>
      </c>
      <c r="E6" s="2" t="s">
        <v>57</v>
      </c>
      <c r="F6" s="5" t="s">
        <v>58</v>
      </c>
      <c r="G6" s="2" t="s">
        <v>26</v>
      </c>
      <c r="H6" s="4" t="s">
        <v>27</v>
      </c>
      <c r="I6" s="2" t="s">
        <v>82</v>
      </c>
      <c r="J6" s="2">
        <f t="shared" si="0"/>
        <v>53</v>
      </c>
      <c r="K6" s="2" t="s">
        <v>83</v>
      </c>
      <c r="L6" s="2">
        <f t="shared" si="1"/>
        <v>158</v>
      </c>
      <c r="M6" s="2" t="s">
        <v>84</v>
      </c>
      <c r="N6" s="2" t="s">
        <v>85</v>
      </c>
      <c r="O6" s="2" t="s">
        <v>86</v>
      </c>
      <c r="P6" s="2" t="s">
        <v>64</v>
      </c>
      <c r="Q6" s="2" t="s">
        <v>87</v>
      </c>
      <c r="R6" s="2" t="s">
        <v>88</v>
      </c>
      <c r="S6" s="2" t="s">
        <v>89</v>
      </c>
      <c r="T6" s="2">
        <v>800</v>
      </c>
      <c r="U6" s="2" t="s">
        <v>53</v>
      </c>
      <c r="V6" s="2" t="s">
        <v>38</v>
      </c>
    </row>
    <row r="7" spans="1:22" ht="23.25" x14ac:dyDescent="0.45">
      <c r="A7" s="2" t="s">
        <v>90</v>
      </c>
      <c r="B7" s="2" t="s">
        <v>40</v>
      </c>
      <c r="C7" s="2" t="s">
        <v>91</v>
      </c>
      <c r="D7" s="2" t="s">
        <v>92</v>
      </c>
      <c r="E7" s="2" t="s">
        <v>57</v>
      </c>
      <c r="F7" s="5" t="s">
        <v>58</v>
      </c>
      <c r="G7" s="2" t="s">
        <v>26</v>
      </c>
      <c r="H7" s="2" t="s">
        <v>93</v>
      </c>
      <c r="I7" s="2" t="s">
        <v>94</v>
      </c>
      <c r="J7" s="2">
        <f t="shared" si="0"/>
        <v>50</v>
      </c>
      <c r="K7" s="2" t="s">
        <v>95</v>
      </c>
      <c r="L7" s="2">
        <f t="shared" si="1"/>
        <v>143</v>
      </c>
      <c r="M7" s="2" t="s">
        <v>96</v>
      </c>
      <c r="N7" s="2" t="s">
        <v>97</v>
      </c>
      <c r="O7" s="2" t="s">
        <v>98</v>
      </c>
      <c r="P7" s="2" t="s">
        <v>64</v>
      </c>
      <c r="Q7" s="2" t="s">
        <v>99</v>
      </c>
      <c r="R7" s="2" t="s">
        <v>100</v>
      </c>
      <c r="S7" s="2" t="s">
        <v>101</v>
      </c>
      <c r="T7" s="2">
        <v>600</v>
      </c>
      <c r="U7" s="2" t="s">
        <v>37</v>
      </c>
      <c r="V7" s="2" t="s">
        <v>38</v>
      </c>
    </row>
    <row r="8" spans="1:22" ht="23.25" x14ac:dyDescent="0.45">
      <c r="A8" s="2" t="s">
        <v>102</v>
      </c>
      <c r="B8" s="2" t="s">
        <v>40</v>
      </c>
      <c r="C8" s="2" t="s">
        <v>103</v>
      </c>
      <c r="D8" s="2" t="s">
        <v>104</v>
      </c>
      <c r="E8" s="2" t="s">
        <v>57</v>
      </c>
      <c r="F8" s="5" t="s">
        <v>58</v>
      </c>
      <c r="G8" s="2" t="s">
        <v>26</v>
      </c>
      <c r="H8" s="4" t="s">
        <v>27</v>
      </c>
      <c r="I8" s="2" t="s">
        <v>105</v>
      </c>
      <c r="J8" s="2">
        <f t="shared" si="0"/>
        <v>53</v>
      </c>
      <c r="K8" s="2" t="s">
        <v>106</v>
      </c>
      <c r="L8" s="2">
        <f t="shared" si="1"/>
        <v>149</v>
      </c>
      <c r="M8" s="2" t="s">
        <v>107</v>
      </c>
      <c r="N8" s="2" t="s">
        <v>108</v>
      </c>
      <c r="O8" s="2" t="s">
        <v>109</v>
      </c>
      <c r="P8" s="2" t="s">
        <v>64</v>
      </c>
      <c r="Q8" s="2" t="s">
        <v>110</v>
      </c>
      <c r="R8" s="2" t="s">
        <v>111</v>
      </c>
      <c r="S8" s="2" t="s">
        <v>112</v>
      </c>
      <c r="T8" s="2">
        <v>750</v>
      </c>
      <c r="U8" s="2" t="s">
        <v>53</v>
      </c>
      <c r="V8" s="2" t="s">
        <v>38</v>
      </c>
    </row>
    <row r="9" spans="1:22" ht="23.25" x14ac:dyDescent="0.45">
      <c r="A9" s="2" t="s">
        <v>113</v>
      </c>
      <c r="B9" s="2" t="s">
        <v>40</v>
      </c>
      <c r="C9" s="2" t="s">
        <v>114</v>
      </c>
      <c r="D9" s="2" t="s">
        <v>115</v>
      </c>
      <c r="E9" s="2" t="s">
        <v>57</v>
      </c>
      <c r="F9" s="5" t="s">
        <v>58</v>
      </c>
      <c r="G9" s="2" t="s">
        <v>26</v>
      </c>
      <c r="H9" s="2" t="s">
        <v>93</v>
      </c>
      <c r="I9" s="2" t="s">
        <v>116</v>
      </c>
      <c r="J9" s="2">
        <f t="shared" si="0"/>
        <v>48</v>
      </c>
      <c r="K9" s="2" t="s">
        <v>117</v>
      </c>
      <c r="L9" s="2">
        <f t="shared" si="1"/>
        <v>142</v>
      </c>
      <c r="M9" s="2" t="s">
        <v>118</v>
      </c>
      <c r="N9" s="2" t="s">
        <v>119</v>
      </c>
      <c r="O9" s="2" t="s">
        <v>120</v>
      </c>
      <c r="P9" s="2" t="s">
        <v>64</v>
      </c>
      <c r="Q9" s="2" t="s">
        <v>121</v>
      </c>
      <c r="R9" s="2" t="s">
        <v>122</v>
      </c>
      <c r="S9" s="2" t="s">
        <v>123</v>
      </c>
      <c r="T9" s="2">
        <v>700</v>
      </c>
      <c r="U9" s="2" t="s">
        <v>53</v>
      </c>
      <c r="V9" s="2" t="s">
        <v>38</v>
      </c>
    </row>
    <row r="10" spans="1:22" ht="23.25" x14ac:dyDescent="0.45">
      <c r="A10" s="2" t="s">
        <v>124</v>
      </c>
      <c r="B10" s="2" t="s">
        <v>40</v>
      </c>
      <c r="C10" s="2" t="s">
        <v>125</v>
      </c>
      <c r="D10" s="2" t="s">
        <v>126</v>
      </c>
      <c r="E10" s="2" t="s">
        <v>57</v>
      </c>
      <c r="F10" s="5" t="s">
        <v>58</v>
      </c>
      <c r="G10" s="2" t="s">
        <v>26</v>
      </c>
      <c r="H10" s="2" t="s">
        <v>93</v>
      </c>
      <c r="I10" s="2" t="s">
        <v>127</v>
      </c>
      <c r="J10" s="2">
        <f t="shared" si="0"/>
        <v>54</v>
      </c>
      <c r="K10" s="2" t="s">
        <v>128</v>
      </c>
      <c r="L10" s="2">
        <f t="shared" si="1"/>
        <v>147</v>
      </c>
      <c r="M10" s="2" t="s">
        <v>129</v>
      </c>
      <c r="N10" s="2" t="s">
        <v>130</v>
      </c>
      <c r="O10" s="2" t="s">
        <v>131</v>
      </c>
      <c r="P10" s="2" t="s">
        <v>64</v>
      </c>
      <c r="Q10" s="2" t="s">
        <v>132</v>
      </c>
      <c r="R10" s="2" t="s">
        <v>133</v>
      </c>
      <c r="S10" s="2" t="s">
        <v>134</v>
      </c>
      <c r="T10" s="2">
        <v>550</v>
      </c>
      <c r="U10" s="2" t="s">
        <v>53</v>
      </c>
      <c r="V10" s="2" t="s">
        <v>38</v>
      </c>
    </row>
    <row r="11" spans="1:22" ht="23.25" x14ac:dyDescent="0.45">
      <c r="A11" s="2" t="s">
        <v>135</v>
      </c>
      <c r="B11" s="2" t="s">
        <v>136</v>
      </c>
      <c r="C11" s="2" t="s">
        <v>137</v>
      </c>
      <c r="D11" s="2" t="s">
        <v>138</v>
      </c>
      <c r="E11" s="2" t="s">
        <v>43</v>
      </c>
      <c r="F11" s="5" t="s">
        <v>58</v>
      </c>
      <c r="G11" s="2" t="s">
        <v>26</v>
      </c>
      <c r="H11" s="4" t="s">
        <v>27</v>
      </c>
      <c r="I11" s="2" t="s">
        <v>139</v>
      </c>
      <c r="J11" s="2">
        <f t="shared" si="0"/>
        <v>48</v>
      </c>
      <c r="K11" s="2" t="s">
        <v>140</v>
      </c>
      <c r="L11" s="2">
        <f t="shared" si="1"/>
        <v>154</v>
      </c>
      <c r="M11" s="2" t="s">
        <v>141</v>
      </c>
      <c r="N11" s="2" t="s">
        <v>142</v>
      </c>
      <c r="O11" s="2" t="s">
        <v>143</v>
      </c>
      <c r="P11" s="2" t="s">
        <v>49</v>
      </c>
      <c r="Q11" s="2" t="s">
        <v>144</v>
      </c>
      <c r="R11" s="2" t="s">
        <v>145</v>
      </c>
      <c r="S11" s="2" t="s">
        <v>146</v>
      </c>
      <c r="T11" s="2">
        <v>300</v>
      </c>
      <c r="U11" s="2" t="s">
        <v>37</v>
      </c>
      <c r="V11" s="2" t="s">
        <v>38</v>
      </c>
    </row>
    <row r="12" spans="1:22" ht="23.25" x14ac:dyDescent="0.45">
      <c r="A12" s="2" t="s">
        <v>147</v>
      </c>
      <c r="B12" s="2" t="s">
        <v>136</v>
      </c>
      <c r="C12" s="2" t="s">
        <v>148</v>
      </c>
      <c r="D12" s="2" t="s">
        <v>149</v>
      </c>
      <c r="E12" s="2" t="s">
        <v>43</v>
      </c>
      <c r="F12" s="5" t="s">
        <v>58</v>
      </c>
      <c r="G12" s="2" t="s">
        <v>26</v>
      </c>
      <c r="H12" s="4" t="s">
        <v>27</v>
      </c>
      <c r="I12" s="2" t="s">
        <v>150</v>
      </c>
      <c r="J12" s="2">
        <f t="shared" si="0"/>
        <v>49</v>
      </c>
      <c r="K12" s="2" t="s">
        <v>151</v>
      </c>
      <c r="L12" s="2">
        <f t="shared" si="1"/>
        <v>154</v>
      </c>
      <c r="M12" s="2" t="s">
        <v>148</v>
      </c>
      <c r="N12" s="2" t="s">
        <v>152</v>
      </c>
      <c r="O12" s="2" t="s">
        <v>153</v>
      </c>
      <c r="P12" s="2" t="s">
        <v>49</v>
      </c>
      <c r="Q12" s="2" t="s">
        <v>154</v>
      </c>
      <c r="R12" s="2" t="s">
        <v>155</v>
      </c>
      <c r="S12" s="2" t="s">
        <v>156</v>
      </c>
      <c r="T12" s="2">
        <v>500</v>
      </c>
      <c r="U12" s="2" t="s">
        <v>37</v>
      </c>
      <c r="V12" s="2" t="s">
        <v>38</v>
      </c>
    </row>
    <row r="13" spans="1:22" ht="23.25" x14ac:dyDescent="0.45">
      <c r="A13" s="2" t="s">
        <v>157</v>
      </c>
      <c r="B13" s="2" t="s">
        <v>136</v>
      </c>
      <c r="C13" s="2" t="s">
        <v>158</v>
      </c>
      <c r="D13" s="2" t="s">
        <v>159</v>
      </c>
      <c r="E13" s="2" t="s">
        <v>160</v>
      </c>
      <c r="F13" s="5" t="s">
        <v>58</v>
      </c>
      <c r="G13" s="2" t="s">
        <v>26</v>
      </c>
      <c r="H13" s="4" t="s">
        <v>27</v>
      </c>
      <c r="I13" s="2" t="s">
        <v>161</v>
      </c>
      <c r="J13" s="2">
        <f t="shared" si="0"/>
        <v>56</v>
      </c>
      <c r="K13" s="2" t="s">
        <v>162</v>
      </c>
      <c r="L13" s="2">
        <f t="shared" si="1"/>
        <v>157</v>
      </c>
      <c r="M13" s="2" t="s">
        <v>163</v>
      </c>
      <c r="N13" s="2" t="s">
        <v>164</v>
      </c>
      <c r="O13" s="2" t="s">
        <v>165</v>
      </c>
      <c r="P13" s="2" t="s">
        <v>160</v>
      </c>
      <c r="Q13" s="2" t="s">
        <v>166</v>
      </c>
      <c r="R13" s="2" t="s">
        <v>167</v>
      </c>
      <c r="S13" s="2" t="s">
        <v>168</v>
      </c>
      <c r="T13" s="2">
        <v>650</v>
      </c>
      <c r="U13" s="2" t="s">
        <v>37</v>
      </c>
      <c r="V13" s="2" t="s">
        <v>38</v>
      </c>
    </row>
    <row r="14" spans="1:22" ht="23.25" x14ac:dyDescent="0.45">
      <c r="A14" s="2" t="s">
        <v>169</v>
      </c>
      <c r="B14" s="2" t="s">
        <v>136</v>
      </c>
      <c r="C14" s="2" t="s">
        <v>170</v>
      </c>
      <c r="D14" s="2" t="s">
        <v>171</v>
      </c>
      <c r="E14" s="2" t="s">
        <v>160</v>
      </c>
      <c r="F14" s="5" t="s">
        <v>58</v>
      </c>
      <c r="G14" s="2" t="s">
        <v>26</v>
      </c>
      <c r="H14" s="4" t="s">
        <v>27</v>
      </c>
      <c r="I14" s="2" t="s">
        <v>172</v>
      </c>
      <c r="J14" s="2">
        <f t="shared" si="0"/>
        <v>50</v>
      </c>
      <c r="K14" s="2" t="s">
        <v>173</v>
      </c>
      <c r="L14" s="2">
        <f t="shared" si="1"/>
        <v>149</v>
      </c>
      <c r="M14" s="2" t="s">
        <v>174</v>
      </c>
      <c r="N14" s="2" t="s">
        <v>175</v>
      </c>
      <c r="O14" s="2" t="s">
        <v>176</v>
      </c>
      <c r="P14" s="2" t="s">
        <v>160</v>
      </c>
      <c r="Q14" s="2" t="s">
        <v>177</v>
      </c>
      <c r="R14" s="2" t="s">
        <v>178</v>
      </c>
      <c r="S14" s="2" t="s">
        <v>168</v>
      </c>
      <c r="T14" s="2">
        <v>650</v>
      </c>
      <c r="U14" s="2" t="s">
        <v>37</v>
      </c>
      <c r="V14" s="2" t="s">
        <v>38</v>
      </c>
    </row>
    <row r="15" spans="1:22" ht="23.25" x14ac:dyDescent="0.45">
      <c r="A15" s="2" t="s">
        <v>179</v>
      </c>
      <c r="B15" s="2" t="s">
        <v>136</v>
      </c>
      <c r="C15" s="2" t="s">
        <v>180</v>
      </c>
      <c r="D15" s="2" t="s">
        <v>181</v>
      </c>
      <c r="E15" s="2" t="s">
        <v>160</v>
      </c>
      <c r="F15" s="5" t="s">
        <v>58</v>
      </c>
      <c r="G15" s="2" t="s">
        <v>26</v>
      </c>
      <c r="H15" s="2" t="s">
        <v>93</v>
      </c>
      <c r="I15" s="2" t="s">
        <v>182</v>
      </c>
      <c r="J15" s="2">
        <f t="shared" si="0"/>
        <v>39</v>
      </c>
      <c r="K15" s="2" t="s">
        <v>183</v>
      </c>
      <c r="L15" s="2">
        <f t="shared" si="1"/>
        <v>148</v>
      </c>
      <c r="M15" s="2" t="s">
        <v>184</v>
      </c>
      <c r="N15" s="2" t="s">
        <v>185</v>
      </c>
      <c r="O15" s="2" t="s">
        <v>186</v>
      </c>
      <c r="P15" s="2" t="s">
        <v>160</v>
      </c>
      <c r="Q15" s="2" t="s">
        <v>187</v>
      </c>
      <c r="R15" s="2" t="s">
        <v>188</v>
      </c>
      <c r="S15" s="2" t="s">
        <v>168</v>
      </c>
      <c r="T15" s="2">
        <v>550</v>
      </c>
      <c r="U15" s="2" t="s">
        <v>37</v>
      </c>
      <c r="V15" s="2" t="s">
        <v>38</v>
      </c>
    </row>
    <row r="16" spans="1:22" ht="23.25" x14ac:dyDescent="0.45">
      <c r="A16" s="2" t="s">
        <v>189</v>
      </c>
      <c r="B16" s="2" t="s">
        <v>136</v>
      </c>
      <c r="C16" s="2" t="s">
        <v>190</v>
      </c>
      <c r="D16" s="2" t="s">
        <v>191</v>
      </c>
      <c r="E16" s="2" t="s">
        <v>160</v>
      </c>
      <c r="F16" s="5" t="s">
        <v>58</v>
      </c>
      <c r="G16" s="2" t="s">
        <v>26</v>
      </c>
      <c r="H16" s="4" t="s">
        <v>27</v>
      </c>
      <c r="I16" s="2" t="s">
        <v>192</v>
      </c>
      <c r="J16" s="2">
        <f t="shared" si="0"/>
        <v>52</v>
      </c>
      <c r="K16" s="2" t="s">
        <v>193</v>
      </c>
      <c r="L16" s="2">
        <f t="shared" si="1"/>
        <v>155</v>
      </c>
      <c r="M16" s="2" t="s">
        <v>194</v>
      </c>
      <c r="N16" s="2" t="s">
        <v>195</v>
      </c>
      <c r="O16" s="2" t="s">
        <v>196</v>
      </c>
      <c r="P16" s="2" t="s">
        <v>160</v>
      </c>
      <c r="Q16" s="2" t="s">
        <v>197</v>
      </c>
      <c r="R16" s="2" t="s">
        <v>198</v>
      </c>
      <c r="S16" s="2" t="s">
        <v>168</v>
      </c>
      <c r="T16" s="2">
        <v>650</v>
      </c>
      <c r="U16" s="2" t="s">
        <v>37</v>
      </c>
      <c r="V16" s="2" t="s">
        <v>38</v>
      </c>
    </row>
    <row r="17" spans="1:22" ht="23.25" x14ac:dyDescent="0.45">
      <c r="A17" s="2" t="s">
        <v>199</v>
      </c>
      <c r="B17" s="2" t="s">
        <v>136</v>
      </c>
      <c r="C17" s="2" t="s">
        <v>200</v>
      </c>
      <c r="D17" s="2" t="s">
        <v>201</v>
      </c>
      <c r="E17" s="2" t="s">
        <v>160</v>
      </c>
      <c r="F17" s="5" t="s">
        <v>58</v>
      </c>
      <c r="G17" s="2" t="s">
        <v>26</v>
      </c>
      <c r="H17" s="2" t="s">
        <v>202</v>
      </c>
      <c r="I17" s="2" t="s">
        <v>203</v>
      </c>
      <c r="J17" s="2">
        <f t="shared" si="0"/>
        <v>52</v>
      </c>
      <c r="K17" s="2" t="s">
        <v>204</v>
      </c>
      <c r="L17" s="2">
        <f t="shared" si="1"/>
        <v>157</v>
      </c>
      <c r="M17" s="2" t="s">
        <v>205</v>
      </c>
      <c r="N17" s="2" t="s">
        <v>206</v>
      </c>
      <c r="O17" s="2" t="s">
        <v>207</v>
      </c>
      <c r="P17" s="2" t="s">
        <v>160</v>
      </c>
      <c r="Q17" s="2" t="s">
        <v>208</v>
      </c>
      <c r="R17" s="2" t="s">
        <v>209</v>
      </c>
      <c r="S17" s="2" t="s">
        <v>168</v>
      </c>
      <c r="T17" s="2">
        <v>450</v>
      </c>
      <c r="U17" s="2" t="s">
        <v>37</v>
      </c>
      <c r="V17" s="2" t="s">
        <v>38</v>
      </c>
    </row>
    <row r="18" spans="1:22" ht="23.25" x14ac:dyDescent="0.45">
      <c r="A18" s="2" t="s">
        <v>210</v>
      </c>
      <c r="B18" s="2" t="s">
        <v>136</v>
      </c>
      <c r="C18" s="2" t="s">
        <v>211</v>
      </c>
      <c r="D18" s="2" t="s">
        <v>212</v>
      </c>
      <c r="E18" s="2" t="s">
        <v>160</v>
      </c>
      <c r="F18" s="5" t="s">
        <v>58</v>
      </c>
      <c r="G18" s="2" t="s">
        <v>26</v>
      </c>
      <c r="H18" s="4" t="s">
        <v>27</v>
      </c>
      <c r="I18" s="2" t="s">
        <v>213</v>
      </c>
      <c r="J18" s="2">
        <f t="shared" si="0"/>
        <v>51</v>
      </c>
      <c r="K18" s="2" t="s">
        <v>214</v>
      </c>
      <c r="L18" s="2">
        <f t="shared" si="1"/>
        <v>150</v>
      </c>
      <c r="M18" s="2" t="s">
        <v>215</v>
      </c>
      <c r="N18" s="2" t="s">
        <v>216</v>
      </c>
      <c r="O18" s="2" t="s">
        <v>217</v>
      </c>
      <c r="P18" s="2" t="s">
        <v>160</v>
      </c>
      <c r="Q18" s="2" t="s">
        <v>218</v>
      </c>
      <c r="R18" s="2" t="s">
        <v>219</v>
      </c>
      <c r="S18" s="2" t="s">
        <v>220</v>
      </c>
      <c r="T18" s="2">
        <v>750</v>
      </c>
      <c r="U18" s="2" t="s">
        <v>37</v>
      </c>
      <c r="V18" s="2" t="s">
        <v>38</v>
      </c>
    </row>
    <row r="19" spans="1:22" ht="23.25" x14ac:dyDescent="0.45">
      <c r="A19" s="2" t="s">
        <v>221</v>
      </c>
      <c r="B19" s="2" t="s">
        <v>136</v>
      </c>
      <c r="C19" s="2" t="s">
        <v>222</v>
      </c>
      <c r="D19" s="2" t="s">
        <v>223</v>
      </c>
      <c r="E19" s="2" t="s">
        <v>160</v>
      </c>
      <c r="F19" s="5" t="s">
        <v>58</v>
      </c>
      <c r="G19" s="2" t="s">
        <v>26</v>
      </c>
      <c r="H19" s="2" t="s">
        <v>93</v>
      </c>
      <c r="I19" s="2" t="s">
        <v>224</v>
      </c>
      <c r="J19" s="2">
        <f t="shared" si="0"/>
        <v>57</v>
      </c>
      <c r="K19" s="2" t="s">
        <v>225</v>
      </c>
      <c r="L19" s="2">
        <f t="shared" si="1"/>
        <v>143</v>
      </c>
      <c r="M19" s="2" t="s">
        <v>226</v>
      </c>
      <c r="N19" s="2" t="s">
        <v>227</v>
      </c>
      <c r="O19" s="2" t="s">
        <v>228</v>
      </c>
      <c r="P19" s="2" t="s">
        <v>160</v>
      </c>
      <c r="Q19" s="2" t="s">
        <v>229</v>
      </c>
      <c r="R19" s="2" t="s">
        <v>230</v>
      </c>
      <c r="S19" s="2" t="s">
        <v>168</v>
      </c>
      <c r="T19" s="2">
        <v>500</v>
      </c>
      <c r="U19" s="2" t="s">
        <v>37</v>
      </c>
      <c r="V19" s="2" t="s">
        <v>38</v>
      </c>
    </row>
    <row r="20" spans="1:22" ht="23.25" x14ac:dyDescent="0.45">
      <c r="A20" s="2" t="s">
        <v>231</v>
      </c>
      <c r="B20" s="2" t="s">
        <v>136</v>
      </c>
      <c r="C20" s="2" t="s">
        <v>232</v>
      </c>
      <c r="D20" s="2" t="s">
        <v>233</v>
      </c>
      <c r="E20" s="2" t="s">
        <v>43</v>
      </c>
      <c r="F20" s="5" t="s">
        <v>58</v>
      </c>
      <c r="G20" s="2" t="s">
        <v>26</v>
      </c>
      <c r="H20" s="4" t="s">
        <v>27</v>
      </c>
      <c r="I20" s="2" t="s">
        <v>234</v>
      </c>
      <c r="J20" s="2">
        <f t="shared" si="0"/>
        <v>45</v>
      </c>
      <c r="K20" s="2" t="s">
        <v>235</v>
      </c>
      <c r="L20" s="2">
        <f t="shared" si="1"/>
        <v>155</v>
      </c>
      <c r="M20" s="2" t="s">
        <v>236</v>
      </c>
      <c r="N20" s="2" t="s">
        <v>237</v>
      </c>
      <c r="O20" s="2" t="s">
        <v>238</v>
      </c>
      <c r="P20" s="2" t="s">
        <v>49</v>
      </c>
      <c r="Q20" s="2" t="s">
        <v>239</v>
      </c>
      <c r="R20" s="2" t="s">
        <v>240</v>
      </c>
      <c r="S20" s="2" t="s">
        <v>123</v>
      </c>
      <c r="T20" s="2">
        <v>500</v>
      </c>
      <c r="U20" s="2" t="s">
        <v>37</v>
      </c>
      <c r="V20" s="2" t="s">
        <v>38</v>
      </c>
    </row>
    <row r="21" spans="1:22" ht="23.25" x14ac:dyDescent="0.45">
      <c r="A21" s="2" t="s">
        <v>241</v>
      </c>
      <c r="B21" s="2" t="s">
        <v>136</v>
      </c>
      <c r="C21" s="2" t="s">
        <v>242</v>
      </c>
      <c r="D21" s="2" t="s">
        <v>243</v>
      </c>
      <c r="E21" s="2" t="s">
        <v>160</v>
      </c>
      <c r="F21" s="5" t="s">
        <v>58</v>
      </c>
      <c r="G21" s="2" t="s">
        <v>26</v>
      </c>
      <c r="H21" s="4" t="s">
        <v>27</v>
      </c>
      <c r="I21" s="2" t="s">
        <v>244</v>
      </c>
      <c r="J21" s="2">
        <f t="shared" si="0"/>
        <v>42</v>
      </c>
      <c r="K21" s="2" t="s">
        <v>245</v>
      </c>
      <c r="L21" s="2">
        <f t="shared" si="1"/>
        <v>156</v>
      </c>
      <c r="M21" s="2" t="s">
        <v>246</v>
      </c>
      <c r="N21" s="2" t="s">
        <v>247</v>
      </c>
      <c r="O21" s="2" t="s">
        <v>248</v>
      </c>
      <c r="P21" s="2" t="s">
        <v>160</v>
      </c>
      <c r="Q21" s="2" t="s">
        <v>249</v>
      </c>
      <c r="R21" s="2" t="s">
        <v>250</v>
      </c>
      <c r="S21" s="2" t="s">
        <v>251</v>
      </c>
      <c r="T21" s="2">
        <v>800</v>
      </c>
      <c r="U21" s="2" t="s">
        <v>37</v>
      </c>
      <c r="V21" s="2" t="s">
        <v>38</v>
      </c>
    </row>
    <row r="22" spans="1:22" ht="23.25" x14ac:dyDescent="0.45">
      <c r="A22" s="2" t="s">
        <v>252</v>
      </c>
      <c r="B22" s="2" t="s">
        <v>136</v>
      </c>
      <c r="C22" s="2" t="s">
        <v>253</v>
      </c>
      <c r="D22" s="2" t="s">
        <v>254</v>
      </c>
      <c r="E22" s="2" t="s">
        <v>160</v>
      </c>
      <c r="F22" s="5" t="s">
        <v>58</v>
      </c>
      <c r="G22" s="2" t="s">
        <v>26</v>
      </c>
      <c r="H22" s="2" t="s">
        <v>202</v>
      </c>
      <c r="I22" s="2" t="s">
        <v>255</v>
      </c>
      <c r="J22" s="2">
        <f t="shared" si="0"/>
        <v>40</v>
      </c>
      <c r="K22" s="2" t="s">
        <v>256</v>
      </c>
      <c r="L22" s="2">
        <f t="shared" si="1"/>
        <v>146</v>
      </c>
      <c r="M22" s="2" t="s">
        <v>257</v>
      </c>
      <c r="N22" s="2" t="s">
        <v>258</v>
      </c>
      <c r="O22" s="2" t="s">
        <v>259</v>
      </c>
      <c r="P22" s="2" t="s">
        <v>160</v>
      </c>
      <c r="Q22" s="2" t="s">
        <v>260</v>
      </c>
      <c r="R22" s="2" t="s">
        <v>261</v>
      </c>
      <c r="S22" s="2" t="s">
        <v>168</v>
      </c>
      <c r="T22" s="2">
        <v>450</v>
      </c>
      <c r="U22" s="2" t="s">
        <v>37</v>
      </c>
      <c r="V22" s="2" t="s">
        <v>38</v>
      </c>
    </row>
    <row r="23" spans="1:22" ht="23.25" x14ac:dyDescent="0.45">
      <c r="A23" s="2" t="s">
        <v>262</v>
      </c>
      <c r="B23" s="2" t="s">
        <v>136</v>
      </c>
      <c r="C23" s="2" t="s">
        <v>263</v>
      </c>
      <c r="D23" s="2" t="s">
        <v>264</v>
      </c>
      <c r="E23" s="2" t="s">
        <v>160</v>
      </c>
      <c r="F23" s="5" t="s">
        <v>58</v>
      </c>
      <c r="G23" s="2" t="s">
        <v>26</v>
      </c>
      <c r="H23" s="4" t="s">
        <v>27</v>
      </c>
      <c r="I23" s="2" t="s">
        <v>265</v>
      </c>
      <c r="J23" s="2">
        <f t="shared" si="0"/>
        <v>45</v>
      </c>
      <c r="K23" s="2" t="s">
        <v>266</v>
      </c>
      <c r="L23" s="2">
        <f t="shared" si="1"/>
        <v>148</v>
      </c>
      <c r="M23" s="2" t="s">
        <v>267</v>
      </c>
      <c r="N23" s="2" t="s">
        <v>268</v>
      </c>
      <c r="O23" s="2" t="s">
        <v>269</v>
      </c>
      <c r="P23" s="2" t="s">
        <v>160</v>
      </c>
      <c r="Q23" s="2" t="s">
        <v>270</v>
      </c>
      <c r="R23" s="2" t="s">
        <v>271</v>
      </c>
      <c r="S23" s="2" t="s">
        <v>272</v>
      </c>
      <c r="T23" s="2">
        <v>700</v>
      </c>
      <c r="U23" s="2" t="s">
        <v>53</v>
      </c>
      <c r="V23" s="2" t="s">
        <v>38</v>
      </c>
    </row>
    <row r="24" spans="1:22" ht="23.25" x14ac:dyDescent="0.45">
      <c r="A24" s="2" t="s">
        <v>273</v>
      </c>
      <c r="B24" s="2" t="s">
        <v>274</v>
      </c>
      <c r="C24" s="2" t="s">
        <v>275</v>
      </c>
      <c r="D24" s="2" t="s">
        <v>276</v>
      </c>
      <c r="E24" s="2" t="s">
        <v>43</v>
      </c>
      <c r="F24" s="5" t="s">
        <v>58</v>
      </c>
      <c r="G24" s="2" t="s">
        <v>26</v>
      </c>
      <c r="H24" s="4" t="s">
        <v>27</v>
      </c>
      <c r="I24" s="2" t="s">
        <v>277</v>
      </c>
      <c r="J24" s="2">
        <f t="shared" si="0"/>
        <v>50</v>
      </c>
      <c r="K24" s="2" t="s">
        <v>278</v>
      </c>
      <c r="L24" s="2">
        <f t="shared" si="1"/>
        <v>153</v>
      </c>
      <c r="M24" s="2" t="s">
        <v>279</v>
      </c>
      <c r="N24" s="2" t="s">
        <v>280</v>
      </c>
      <c r="O24" s="2" t="s">
        <v>281</v>
      </c>
      <c r="P24" s="2" t="s">
        <v>64</v>
      </c>
      <c r="Q24" s="2" t="s">
        <v>282</v>
      </c>
      <c r="R24" s="2" t="s">
        <v>283</v>
      </c>
      <c r="S24" s="2" t="s">
        <v>284</v>
      </c>
      <c r="T24" s="2">
        <v>500</v>
      </c>
      <c r="U24" s="2" t="s">
        <v>53</v>
      </c>
      <c r="V24" s="2" t="s">
        <v>38</v>
      </c>
    </row>
    <row r="25" spans="1:22" ht="23.25" x14ac:dyDescent="0.45">
      <c r="A25" s="2" t="s">
        <v>285</v>
      </c>
      <c r="B25" s="2" t="s">
        <v>274</v>
      </c>
      <c r="C25" s="2" t="s">
        <v>286</v>
      </c>
      <c r="D25" s="2" t="s">
        <v>287</v>
      </c>
      <c r="E25" s="2" t="s">
        <v>64</v>
      </c>
      <c r="F25" s="5" t="s">
        <v>58</v>
      </c>
      <c r="G25" s="2" t="s">
        <v>26</v>
      </c>
      <c r="H25" s="4" t="s">
        <v>27</v>
      </c>
      <c r="I25" s="2" t="s">
        <v>288</v>
      </c>
      <c r="J25" s="2">
        <f t="shared" si="0"/>
        <v>44</v>
      </c>
      <c r="K25" s="2" t="s">
        <v>289</v>
      </c>
      <c r="L25" s="2">
        <f t="shared" si="1"/>
        <v>158</v>
      </c>
      <c r="M25" s="2" t="s">
        <v>290</v>
      </c>
      <c r="N25" s="2" t="s">
        <v>280</v>
      </c>
      <c r="O25" s="2" t="s">
        <v>291</v>
      </c>
      <c r="P25" s="2" t="s">
        <v>64</v>
      </c>
      <c r="Q25" s="2" t="s">
        <v>292</v>
      </c>
      <c r="R25" s="2" t="s">
        <v>293</v>
      </c>
      <c r="S25" s="2" t="s">
        <v>284</v>
      </c>
      <c r="T25" s="2">
        <v>900</v>
      </c>
      <c r="U25" s="2" t="s">
        <v>53</v>
      </c>
      <c r="V25" s="2" t="s">
        <v>38</v>
      </c>
    </row>
    <row r="26" spans="1:22" ht="23.25" x14ac:dyDescent="0.45">
      <c r="A26" s="2" t="s">
        <v>294</v>
      </c>
      <c r="B26" s="2" t="s">
        <v>274</v>
      </c>
      <c r="C26" s="2" t="s">
        <v>295</v>
      </c>
      <c r="D26" s="2" t="s">
        <v>296</v>
      </c>
      <c r="E26" s="2" t="s">
        <v>297</v>
      </c>
      <c r="F26" s="5" t="s">
        <v>58</v>
      </c>
      <c r="G26" s="2" t="s">
        <v>26</v>
      </c>
      <c r="H26" s="4" t="s">
        <v>27</v>
      </c>
      <c r="I26" s="2" t="s">
        <v>298</v>
      </c>
      <c r="J26" s="2">
        <f t="shared" si="0"/>
        <v>53</v>
      </c>
      <c r="K26" s="2" t="s">
        <v>299</v>
      </c>
      <c r="L26" s="2">
        <f t="shared" si="1"/>
        <v>159</v>
      </c>
      <c r="M26" s="2" t="s">
        <v>300</v>
      </c>
      <c r="N26" s="2" t="s">
        <v>301</v>
      </c>
      <c r="O26" s="2" t="s">
        <v>302</v>
      </c>
      <c r="P26" s="2" t="s">
        <v>303</v>
      </c>
      <c r="Q26" s="2" t="s">
        <v>304</v>
      </c>
      <c r="R26" s="2" t="s">
        <v>305</v>
      </c>
      <c r="S26" s="2" t="s">
        <v>284</v>
      </c>
      <c r="T26" s="2">
        <v>800</v>
      </c>
      <c r="U26" s="2" t="s">
        <v>53</v>
      </c>
      <c r="V26" s="2" t="s">
        <v>38</v>
      </c>
    </row>
    <row r="27" spans="1:22" ht="23.25" x14ac:dyDescent="0.45">
      <c r="A27" s="2" t="s">
        <v>306</v>
      </c>
      <c r="B27" s="2" t="s">
        <v>274</v>
      </c>
      <c r="C27" s="2" t="s">
        <v>307</v>
      </c>
      <c r="D27" s="2" t="s">
        <v>308</v>
      </c>
      <c r="E27" s="2" t="s">
        <v>64</v>
      </c>
      <c r="F27" s="5" t="s">
        <v>58</v>
      </c>
      <c r="G27" s="2" t="s">
        <v>26</v>
      </c>
      <c r="H27" s="2" t="s">
        <v>93</v>
      </c>
      <c r="I27" s="2" t="s">
        <v>309</v>
      </c>
      <c r="J27" s="2">
        <f t="shared" si="0"/>
        <v>53</v>
      </c>
      <c r="K27" s="2" t="s">
        <v>310</v>
      </c>
      <c r="L27" s="2">
        <f t="shared" si="1"/>
        <v>143</v>
      </c>
      <c r="M27" s="2" t="s">
        <v>311</v>
      </c>
      <c r="N27" s="2" t="s">
        <v>312</v>
      </c>
      <c r="O27" s="2" t="s">
        <v>313</v>
      </c>
      <c r="P27" s="2" t="s">
        <v>64</v>
      </c>
      <c r="Q27" s="2" t="s">
        <v>314</v>
      </c>
      <c r="R27" s="2" t="s">
        <v>315</v>
      </c>
      <c r="S27" s="2" t="s">
        <v>316</v>
      </c>
      <c r="T27" s="2">
        <v>600</v>
      </c>
      <c r="U27" s="2" t="s">
        <v>53</v>
      </c>
      <c r="V27" s="2" t="s">
        <v>38</v>
      </c>
    </row>
    <row r="28" spans="1:22" ht="23.25" x14ac:dyDescent="0.45">
      <c r="A28" s="2" t="s">
        <v>317</v>
      </c>
      <c r="B28" s="2" t="s">
        <v>274</v>
      </c>
      <c r="C28" s="2" t="s">
        <v>318</v>
      </c>
      <c r="D28" s="2" t="s">
        <v>319</v>
      </c>
      <c r="E28" s="2" t="s">
        <v>64</v>
      </c>
      <c r="F28" s="5" t="s">
        <v>58</v>
      </c>
      <c r="G28" s="2" t="s">
        <v>26</v>
      </c>
      <c r="H28" s="2" t="s">
        <v>93</v>
      </c>
      <c r="I28" s="2" t="s">
        <v>320</v>
      </c>
      <c r="J28" s="2">
        <f t="shared" si="0"/>
        <v>44</v>
      </c>
      <c r="K28" s="2" t="s">
        <v>321</v>
      </c>
      <c r="L28" s="2">
        <f t="shared" si="1"/>
        <v>152</v>
      </c>
      <c r="M28" s="2" t="s">
        <v>322</v>
      </c>
      <c r="N28" s="2" t="s">
        <v>323</v>
      </c>
      <c r="O28" s="2" t="s">
        <v>324</v>
      </c>
      <c r="P28" s="2" t="s">
        <v>64</v>
      </c>
      <c r="Q28" s="2" t="s">
        <v>325</v>
      </c>
      <c r="R28" s="2" t="s">
        <v>326</v>
      </c>
      <c r="S28" s="2" t="s">
        <v>327</v>
      </c>
      <c r="T28" s="2">
        <v>500</v>
      </c>
      <c r="U28" s="2" t="s">
        <v>53</v>
      </c>
      <c r="V28" s="2" t="s">
        <v>38</v>
      </c>
    </row>
    <row r="29" spans="1:22" ht="23.25" x14ac:dyDescent="0.45">
      <c r="A29" s="2" t="s">
        <v>328</v>
      </c>
      <c r="B29" s="2" t="s">
        <v>274</v>
      </c>
      <c r="C29" s="2" t="s">
        <v>329</v>
      </c>
      <c r="D29" s="2" t="s">
        <v>330</v>
      </c>
      <c r="E29" s="2" t="s">
        <v>331</v>
      </c>
      <c r="F29" s="5" t="s">
        <v>58</v>
      </c>
      <c r="G29" s="6" t="s">
        <v>332</v>
      </c>
      <c r="H29" s="4" t="s">
        <v>27</v>
      </c>
      <c r="I29" s="2" t="s">
        <v>333</v>
      </c>
      <c r="J29" s="2">
        <f t="shared" si="0"/>
        <v>48</v>
      </c>
      <c r="K29" s="2" t="s">
        <v>334</v>
      </c>
      <c r="L29" s="2">
        <f t="shared" si="1"/>
        <v>150</v>
      </c>
      <c r="M29" s="2" t="s">
        <v>284</v>
      </c>
      <c r="N29" s="2" t="s">
        <v>335</v>
      </c>
      <c r="O29" s="2" t="s">
        <v>336</v>
      </c>
      <c r="P29" s="2" t="s">
        <v>64</v>
      </c>
      <c r="Q29" s="2" t="s">
        <v>337</v>
      </c>
      <c r="R29" s="2" t="s">
        <v>338</v>
      </c>
      <c r="S29" s="2" t="s">
        <v>339</v>
      </c>
      <c r="T29" s="2">
        <v>250</v>
      </c>
      <c r="U29" s="2" t="s">
        <v>53</v>
      </c>
      <c r="V29" s="2" t="s">
        <v>38</v>
      </c>
    </row>
    <row r="30" spans="1:22" ht="23.25" x14ac:dyDescent="0.45">
      <c r="A30" s="2" t="s">
        <v>340</v>
      </c>
      <c r="B30" s="2" t="s">
        <v>341</v>
      </c>
      <c r="C30" s="2" t="s">
        <v>342</v>
      </c>
      <c r="D30" s="2" t="s">
        <v>343</v>
      </c>
      <c r="E30" s="2" t="s">
        <v>344</v>
      </c>
      <c r="F30" s="7" t="s">
        <v>345</v>
      </c>
      <c r="G30" s="2" t="s">
        <v>26</v>
      </c>
      <c r="H30" s="4" t="s">
        <v>27</v>
      </c>
      <c r="I30" s="2" t="s">
        <v>346</v>
      </c>
      <c r="J30" s="2">
        <f t="shared" si="0"/>
        <v>45</v>
      </c>
      <c r="K30" s="2" t="s">
        <v>347</v>
      </c>
      <c r="L30" s="2">
        <f t="shared" si="1"/>
        <v>158</v>
      </c>
      <c r="M30" s="2" t="s">
        <v>348</v>
      </c>
      <c r="N30" s="2" t="s">
        <v>349</v>
      </c>
      <c r="O30" s="2" t="s">
        <v>350</v>
      </c>
      <c r="P30" s="2" t="s">
        <v>64</v>
      </c>
      <c r="Q30" s="2" t="s">
        <v>351</v>
      </c>
      <c r="R30" s="2" t="s">
        <v>352</v>
      </c>
      <c r="S30" s="2" t="s">
        <v>353</v>
      </c>
      <c r="T30" s="2">
        <v>1100</v>
      </c>
      <c r="U30" s="2" t="s">
        <v>53</v>
      </c>
      <c r="V30" s="2" t="s">
        <v>38</v>
      </c>
    </row>
    <row r="31" spans="1:22" ht="23.25" x14ac:dyDescent="0.45">
      <c r="A31" s="2" t="s">
        <v>354</v>
      </c>
      <c r="B31" s="2" t="s">
        <v>341</v>
      </c>
      <c r="C31" s="2" t="s">
        <v>355</v>
      </c>
      <c r="D31" s="2" t="s">
        <v>356</v>
      </c>
      <c r="E31" s="2" t="s">
        <v>357</v>
      </c>
      <c r="F31" s="7" t="s">
        <v>345</v>
      </c>
      <c r="G31" s="2" t="s">
        <v>26</v>
      </c>
      <c r="H31" s="4" t="s">
        <v>27</v>
      </c>
      <c r="I31" s="2" t="s">
        <v>358</v>
      </c>
      <c r="J31" s="2">
        <f t="shared" si="0"/>
        <v>48</v>
      </c>
      <c r="K31" s="2" t="s">
        <v>359</v>
      </c>
      <c r="L31" s="2">
        <f t="shared" si="1"/>
        <v>152</v>
      </c>
      <c r="M31" s="2" t="s">
        <v>360</v>
      </c>
      <c r="N31" s="2" t="s">
        <v>361</v>
      </c>
      <c r="O31" s="2" t="s">
        <v>362</v>
      </c>
      <c r="P31" s="2" t="s">
        <v>64</v>
      </c>
      <c r="Q31" s="2" t="s">
        <v>363</v>
      </c>
      <c r="R31" s="2" t="s">
        <v>364</v>
      </c>
      <c r="S31" s="2" t="s">
        <v>365</v>
      </c>
      <c r="T31" s="2">
        <v>800</v>
      </c>
      <c r="U31" s="2" t="s">
        <v>37</v>
      </c>
      <c r="V31" s="2" t="s">
        <v>38</v>
      </c>
    </row>
    <row r="32" spans="1:22" ht="23.25" x14ac:dyDescent="0.45">
      <c r="A32" s="2" t="s">
        <v>366</v>
      </c>
      <c r="B32" s="2" t="s">
        <v>341</v>
      </c>
      <c r="C32" s="2" t="s">
        <v>367</v>
      </c>
      <c r="D32" s="2" t="s">
        <v>368</v>
      </c>
      <c r="E32" s="2" t="s">
        <v>357</v>
      </c>
      <c r="F32" s="7" t="s">
        <v>345</v>
      </c>
      <c r="G32" s="2" t="s">
        <v>26</v>
      </c>
      <c r="H32" s="4" t="s">
        <v>27</v>
      </c>
      <c r="I32" s="2" t="s">
        <v>369</v>
      </c>
      <c r="J32" s="2">
        <f t="shared" si="0"/>
        <v>44</v>
      </c>
      <c r="K32" s="2" t="s">
        <v>370</v>
      </c>
      <c r="L32" s="2">
        <f t="shared" si="1"/>
        <v>154</v>
      </c>
      <c r="M32" s="2" t="s">
        <v>371</v>
      </c>
      <c r="N32" s="2" t="s">
        <v>372</v>
      </c>
      <c r="O32" s="2" t="s">
        <v>373</v>
      </c>
      <c r="P32" s="2" t="s">
        <v>64</v>
      </c>
      <c r="Q32" s="2" t="s">
        <v>374</v>
      </c>
      <c r="R32" s="2" t="s">
        <v>375</v>
      </c>
      <c r="S32" s="2" t="s">
        <v>376</v>
      </c>
      <c r="T32" s="2">
        <v>700</v>
      </c>
      <c r="U32" s="2" t="s">
        <v>53</v>
      </c>
      <c r="V32" s="2" t="s">
        <v>38</v>
      </c>
    </row>
    <row r="33" spans="1:22" ht="23.25" x14ac:dyDescent="0.45">
      <c r="A33" s="2" t="s">
        <v>377</v>
      </c>
      <c r="B33" s="2" t="s">
        <v>341</v>
      </c>
      <c r="C33" s="2" t="s">
        <v>378</v>
      </c>
      <c r="D33" s="2" t="s">
        <v>379</v>
      </c>
      <c r="E33" s="2" t="s">
        <v>357</v>
      </c>
      <c r="F33" s="7" t="s">
        <v>345</v>
      </c>
      <c r="G33" s="2" t="s">
        <v>26</v>
      </c>
      <c r="H33" s="4" t="s">
        <v>27</v>
      </c>
      <c r="I33" s="2" t="s">
        <v>380</v>
      </c>
      <c r="J33" s="2">
        <f t="shared" si="0"/>
        <v>49</v>
      </c>
      <c r="K33" s="2" t="s">
        <v>381</v>
      </c>
      <c r="L33" s="2">
        <f t="shared" si="1"/>
        <v>160</v>
      </c>
      <c r="M33" s="2" t="s">
        <v>382</v>
      </c>
      <c r="N33" s="2" t="s">
        <v>383</v>
      </c>
      <c r="O33" s="2" t="s">
        <v>384</v>
      </c>
      <c r="P33" s="2" t="s">
        <v>64</v>
      </c>
      <c r="Q33" s="2" t="s">
        <v>385</v>
      </c>
      <c r="R33" s="2" t="s">
        <v>386</v>
      </c>
      <c r="S33" s="2" t="s">
        <v>387</v>
      </c>
      <c r="T33" s="2">
        <v>800</v>
      </c>
      <c r="U33" s="2" t="s">
        <v>53</v>
      </c>
      <c r="V33" s="2" t="s">
        <v>38</v>
      </c>
    </row>
    <row r="34" spans="1:22" ht="23.25" x14ac:dyDescent="0.45">
      <c r="A34" s="2" t="s">
        <v>388</v>
      </c>
      <c r="B34" s="2" t="s">
        <v>341</v>
      </c>
      <c r="C34" s="2" t="s">
        <v>389</v>
      </c>
      <c r="D34" s="2" t="s">
        <v>390</v>
      </c>
      <c r="E34" s="2" t="s">
        <v>357</v>
      </c>
      <c r="F34" s="7" t="s">
        <v>345</v>
      </c>
      <c r="G34" s="2" t="s">
        <v>26</v>
      </c>
      <c r="H34" s="4" t="s">
        <v>27</v>
      </c>
      <c r="I34" s="2" t="s">
        <v>391</v>
      </c>
      <c r="J34" s="2">
        <f t="shared" ref="J34:J65" si="2">LEN(I34)</f>
        <v>46</v>
      </c>
      <c r="K34" s="2" t="s">
        <v>392</v>
      </c>
      <c r="L34" s="2">
        <f t="shared" ref="L34:L65" si="3">LEN(K34)</f>
        <v>147</v>
      </c>
      <c r="M34" s="2" t="s">
        <v>393</v>
      </c>
      <c r="N34" s="2" t="s">
        <v>394</v>
      </c>
      <c r="O34" s="2" t="s">
        <v>395</v>
      </c>
      <c r="P34" s="2" t="s">
        <v>64</v>
      </c>
      <c r="Q34" s="2" t="s">
        <v>396</v>
      </c>
      <c r="R34" s="2" t="s">
        <v>397</v>
      </c>
      <c r="S34" s="2" t="s">
        <v>398</v>
      </c>
      <c r="T34" s="2">
        <v>900</v>
      </c>
      <c r="U34" s="2" t="s">
        <v>53</v>
      </c>
      <c r="V34" s="2" t="s">
        <v>38</v>
      </c>
    </row>
    <row r="35" spans="1:22" ht="23.25" x14ac:dyDescent="0.45">
      <c r="A35" s="2" t="s">
        <v>399</v>
      </c>
      <c r="B35" s="2" t="s">
        <v>341</v>
      </c>
      <c r="C35" s="2" t="s">
        <v>400</v>
      </c>
      <c r="D35" s="2" t="s">
        <v>401</v>
      </c>
      <c r="E35" s="2" t="s">
        <v>64</v>
      </c>
      <c r="F35" s="7" t="s">
        <v>345</v>
      </c>
      <c r="G35" s="2" t="s">
        <v>26</v>
      </c>
      <c r="H35" s="2" t="s">
        <v>93</v>
      </c>
      <c r="I35" s="2" t="s">
        <v>402</v>
      </c>
      <c r="J35" s="2">
        <f t="shared" si="2"/>
        <v>43</v>
      </c>
      <c r="K35" s="2" t="s">
        <v>403</v>
      </c>
      <c r="L35" s="2">
        <f t="shared" si="3"/>
        <v>154</v>
      </c>
      <c r="M35" s="2" t="s">
        <v>404</v>
      </c>
      <c r="N35" s="2" t="s">
        <v>405</v>
      </c>
      <c r="O35" s="2" t="s">
        <v>406</v>
      </c>
      <c r="P35" s="2" t="s">
        <v>64</v>
      </c>
      <c r="Q35" s="2" t="s">
        <v>407</v>
      </c>
      <c r="R35" s="2" t="s">
        <v>408</v>
      </c>
      <c r="S35" s="2" t="s">
        <v>409</v>
      </c>
      <c r="T35" s="2">
        <v>600</v>
      </c>
      <c r="U35" s="2" t="s">
        <v>37</v>
      </c>
      <c r="V35" s="2" t="s">
        <v>38</v>
      </c>
    </row>
    <row r="36" spans="1:22" ht="23.25" x14ac:dyDescent="0.45">
      <c r="A36" s="2" t="s">
        <v>410</v>
      </c>
      <c r="B36" s="2" t="s">
        <v>341</v>
      </c>
      <c r="C36" s="2" t="s">
        <v>411</v>
      </c>
      <c r="D36" s="2" t="s">
        <v>412</v>
      </c>
      <c r="E36" s="2" t="s">
        <v>413</v>
      </c>
      <c r="F36" s="7" t="s">
        <v>345</v>
      </c>
      <c r="G36" s="2" t="s">
        <v>26</v>
      </c>
      <c r="H36" s="4" t="s">
        <v>27</v>
      </c>
      <c r="I36" s="2" t="s">
        <v>414</v>
      </c>
      <c r="J36" s="2">
        <f t="shared" si="2"/>
        <v>39</v>
      </c>
      <c r="K36" s="2" t="s">
        <v>415</v>
      </c>
      <c r="L36" s="2">
        <f t="shared" si="3"/>
        <v>155</v>
      </c>
      <c r="M36" s="2" t="s">
        <v>416</v>
      </c>
      <c r="N36" s="2" t="s">
        <v>417</v>
      </c>
      <c r="O36" s="2" t="s">
        <v>418</v>
      </c>
      <c r="P36" s="2" t="s">
        <v>303</v>
      </c>
      <c r="Q36" s="2" t="s">
        <v>419</v>
      </c>
      <c r="R36" s="2" t="s">
        <v>420</v>
      </c>
      <c r="S36" s="2" t="s">
        <v>421</v>
      </c>
      <c r="T36" s="2">
        <v>500</v>
      </c>
      <c r="U36" s="2" t="s">
        <v>53</v>
      </c>
      <c r="V36" s="2" t="s">
        <v>38</v>
      </c>
    </row>
    <row r="37" spans="1:22" ht="23.25" x14ac:dyDescent="0.45">
      <c r="A37" s="2" t="s">
        <v>422</v>
      </c>
      <c r="B37" s="2" t="s">
        <v>341</v>
      </c>
      <c r="C37" s="2" t="s">
        <v>423</v>
      </c>
      <c r="D37" s="2" t="s">
        <v>424</v>
      </c>
      <c r="E37" s="2" t="s">
        <v>303</v>
      </c>
      <c r="F37" s="7" t="s">
        <v>345</v>
      </c>
      <c r="G37" s="2" t="s">
        <v>26</v>
      </c>
      <c r="H37" s="2" t="s">
        <v>93</v>
      </c>
      <c r="I37" s="2" t="s">
        <v>425</v>
      </c>
      <c r="J37" s="2">
        <f t="shared" si="2"/>
        <v>49</v>
      </c>
      <c r="K37" s="2" t="s">
        <v>426</v>
      </c>
      <c r="L37" s="2">
        <f t="shared" si="3"/>
        <v>151</v>
      </c>
      <c r="M37" s="2" t="s">
        <v>427</v>
      </c>
      <c r="N37" s="2" t="s">
        <v>428</v>
      </c>
      <c r="O37" s="2" t="s">
        <v>429</v>
      </c>
      <c r="P37" s="2" t="s">
        <v>303</v>
      </c>
      <c r="Q37" s="2" t="s">
        <v>430</v>
      </c>
      <c r="R37" s="2" t="s">
        <v>431</v>
      </c>
      <c r="S37" s="2" t="s">
        <v>432</v>
      </c>
      <c r="T37" s="2">
        <v>550</v>
      </c>
      <c r="U37" s="2" t="s">
        <v>53</v>
      </c>
      <c r="V37" s="2" t="s">
        <v>38</v>
      </c>
    </row>
    <row r="38" spans="1:22" ht="23.25" x14ac:dyDescent="0.45">
      <c r="A38" s="2" t="s">
        <v>433</v>
      </c>
      <c r="B38" s="2" t="s">
        <v>341</v>
      </c>
      <c r="C38" s="2" t="s">
        <v>434</v>
      </c>
      <c r="D38" s="2" t="s">
        <v>435</v>
      </c>
      <c r="E38" s="2" t="s">
        <v>331</v>
      </c>
      <c r="F38" s="7" t="s">
        <v>345</v>
      </c>
      <c r="G38" s="6" t="s">
        <v>332</v>
      </c>
      <c r="H38" s="4" t="s">
        <v>27</v>
      </c>
      <c r="I38" s="2" t="s">
        <v>436</v>
      </c>
      <c r="J38" s="2">
        <f t="shared" si="2"/>
        <v>49</v>
      </c>
      <c r="K38" s="2" t="s">
        <v>437</v>
      </c>
      <c r="L38" s="2">
        <f t="shared" si="3"/>
        <v>160</v>
      </c>
      <c r="M38" s="2" t="s">
        <v>438</v>
      </c>
      <c r="N38" s="2" t="s">
        <v>439</v>
      </c>
      <c r="O38" s="2" t="s">
        <v>440</v>
      </c>
      <c r="P38" s="2" t="s">
        <v>64</v>
      </c>
      <c r="Q38" s="2" t="s">
        <v>441</v>
      </c>
      <c r="R38" s="2" t="s">
        <v>442</v>
      </c>
      <c r="S38" s="2" t="s">
        <v>443</v>
      </c>
      <c r="T38" s="2">
        <v>300</v>
      </c>
      <c r="U38" s="2" t="s">
        <v>53</v>
      </c>
      <c r="V38" s="2" t="s">
        <v>38</v>
      </c>
    </row>
    <row r="39" spans="1:22" ht="23.25" x14ac:dyDescent="0.45">
      <c r="A39" s="2" t="s">
        <v>444</v>
      </c>
      <c r="B39" s="2" t="s">
        <v>341</v>
      </c>
      <c r="C39" s="2" t="s">
        <v>445</v>
      </c>
      <c r="D39" s="2" t="s">
        <v>446</v>
      </c>
      <c r="E39" s="2" t="s">
        <v>331</v>
      </c>
      <c r="F39" s="7" t="s">
        <v>345</v>
      </c>
      <c r="G39" s="6" t="s">
        <v>332</v>
      </c>
      <c r="H39" s="4" t="s">
        <v>27</v>
      </c>
      <c r="I39" s="2" t="s">
        <v>447</v>
      </c>
      <c r="J39" s="2">
        <f t="shared" si="2"/>
        <v>38</v>
      </c>
      <c r="K39" s="2" t="s">
        <v>448</v>
      </c>
      <c r="L39" s="2">
        <f t="shared" si="3"/>
        <v>156</v>
      </c>
      <c r="M39" s="2" t="s">
        <v>353</v>
      </c>
      <c r="N39" s="2" t="s">
        <v>449</v>
      </c>
      <c r="O39" s="2" t="s">
        <v>450</v>
      </c>
      <c r="P39" s="2" t="s">
        <v>64</v>
      </c>
      <c r="Q39" s="2" t="s">
        <v>451</v>
      </c>
      <c r="R39" s="2" t="s">
        <v>452</v>
      </c>
      <c r="S39" s="2" t="s">
        <v>453</v>
      </c>
      <c r="T39" s="2">
        <v>250</v>
      </c>
      <c r="U39" s="2" t="s">
        <v>53</v>
      </c>
      <c r="V39" s="2" t="s">
        <v>38</v>
      </c>
    </row>
    <row r="40" spans="1:22" ht="23.25" x14ac:dyDescent="0.45">
      <c r="A40" s="2" t="s">
        <v>454</v>
      </c>
      <c r="B40" s="2" t="s">
        <v>455</v>
      </c>
      <c r="C40" s="2" t="s">
        <v>456</v>
      </c>
      <c r="D40" s="2" t="s">
        <v>457</v>
      </c>
      <c r="E40" s="2" t="s">
        <v>43</v>
      </c>
      <c r="F40" s="8" t="s">
        <v>458</v>
      </c>
      <c r="G40" s="2" t="s">
        <v>26</v>
      </c>
      <c r="H40" s="4" t="s">
        <v>27</v>
      </c>
      <c r="I40" s="2" t="s">
        <v>459</v>
      </c>
      <c r="J40" s="2">
        <f t="shared" si="2"/>
        <v>55</v>
      </c>
      <c r="K40" s="2" t="s">
        <v>460</v>
      </c>
      <c r="L40" s="2">
        <f t="shared" si="3"/>
        <v>142</v>
      </c>
      <c r="M40" s="2" t="s">
        <v>461</v>
      </c>
      <c r="N40" s="2" t="s">
        <v>462</v>
      </c>
      <c r="O40" s="2" t="s">
        <v>463</v>
      </c>
      <c r="P40" s="2" t="s">
        <v>64</v>
      </c>
      <c r="Q40" s="2" t="s">
        <v>464</v>
      </c>
      <c r="R40" s="2" t="s">
        <v>465</v>
      </c>
      <c r="S40" s="2" t="s">
        <v>466</v>
      </c>
      <c r="T40" s="2">
        <v>650</v>
      </c>
      <c r="U40" s="2" t="s">
        <v>53</v>
      </c>
      <c r="V40" s="2" t="s">
        <v>38</v>
      </c>
    </row>
    <row r="41" spans="1:22" ht="23.25" x14ac:dyDescent="0.45">
      <c r="A41" s="2" t="s">
        <v>467</v>
      </c>
      <c r="B41" s="2" t="s">
        <v>455</v>
      </c>
      <c r="C41" s="2" t="s">
        <v>468</v>
      </c>
      <c r="D41" s="2" t="s">
        <v>469</v>
      </c>
      <c r="E41" s="2" t="s">
        <v>64</v>
      </c>
      <c r="F41" s="8" t="s">
        <v>458</v>
      </c>
      <c r="G41" s="2" t="s">
        <v>26</v>
      </c>
      <c r="H41" s="4" t="s">
        <v>27</v>
      </c>
      <c r="I41" s="2" t="s">
        <v>470</v>
      </c>
      <c r="J41" s="2">
        <f t="shared" si="2"/>
        <v>51</v>
      </c>
      <c r="K41" s="2" t="s">
        <v>471</v>
      </c>
      <c r="L41" s="2">
        <f t="shared" si="3"/>
        <v>147</v>
      </c>
      <c r="M41" s="2" t="s">
        <v>472</v>
      </c>
      <c r="N41" s="2" t="s">
        <v>473</v>
      </c>
      <c r="O41" s="2" t="s">
        <v>474</v>
      </c>
      <c r="P41" s="2" t="s">
        <v>64</v>
      </c>
      <c r="Q41" s="2" t="s">
        <v>475</v>
      </c>
      <c r="R41" s="2" t="s">
        <v>476</v>
      </c>
      <c r="S41" s="2" t="s">
        <v>387</v>
      </c>
      <c r="T41" s="2">
        <v>650</v>
      </c>
      <c r="U41" s="2" t="s">
        <v>53</v>
      </c>
      <c r="V41" s="2" t="s">
        <v>38</v>
      </c>
    </row>
    <row r="42" spans="1:22" ht="23.25" x14ac:dyDescent="0.45">
      <c r="A42" s="2" t="s">
        <v>477</v>
      </c>
      <c r="B42" s="2" t="s">
        <v>455</v>
      </c>
      <c r="C42" s="2" t="s">
        <v>478</v>
      </c>
      <c r="D42" s="2" t="s">
        <v>479</v>
      </c>
      <c r="E42" s="2" t="s">
        <v>64</v>
      </c>
      <c r="F42" s="8" t="s">
        <v>458</v>
      </c>
      <c r="G42" s="2" t="s">
        <v>26</v>
      </c>
      <c r="H42" s="2" t="s">
        <v>93</v>
      </c>
      <c r="I42" s="2" t="s">
        <v>480</v>
      </c>
      <c r="J42" s="2">
        <f t="shared" si="2"/>
        <v>50</v>
      </c>
      <c r="K42" s="2" t="s">
        <v>481</v>
      </c>
      <c r="L42" s="2">
        <f t="shared" si="3"/>
        <v>157</v>
      </c>
      <c r="M42" s="2" t="s">
        <v>482</v>
      </c>
      <c r="N42" s="2" t="s">
        <v>483</v>
      </c>
      <c r="O42" s="2" t="s">
        <v>484</v>
      </c>
      <c r="P42" s="2" t="s">
        <v>64</v>
      </c>
      <c r="Q42" s="2" t="s">
        <v>485</v>
      </c>
      <c r="R42" s="2" t="s">
        <v>486</v>
      </c>
      <c r="S42" s="2" t="s">
        <v>487</v>
      </c>
      <c r="T42" s="2">
        <v>600</v>
      </c>
      <c r="U42" s="2" t="s">
        <v>53</v>
      </c>
      <c r="V42" s="2" t="s">
        <v>38</v>
      </c>
    </row>
    <row r="43" spans="1:22" ht="23.25" x14ac:dyDescent="0.45">
      <c r="A43" s="2" t="s">
        <v>488</v>
      </c>
      <c r="B43" s="2" t="s">
        <v>455</v>
      </c>
      <c r="C43" s="2" t="s">
        <v>489</v>
      </c>
      <c r="D43" s="2" t="s">
        <v>490</v>
      </c>
      <c r="E43" s="2" t="s">
        <v>491</v>
      </c>
      <c r="F43" s="8" t="s">
        <v>458</v>
      </c>
      <c r="G43" s="2" t="s">
        <v>26</v>
      </c>
      <c r="H43" s="4" t="s">
        <v>27</v>
      </c>
      <c r="I43" s="2" t="s">
        <v>492</v>
      </c>
      <c r="J43" s="2">
        <f t="shared" si="2"/>
        <v>57</v>
      </c>
      <c r="K43" s="2" t="s">
        <v>493</v>
      </c>
      <c r="L43" s="2">
        <f t="shared" si="3"/>
        <v>150</v>
      </c>
      <c r="M43" s="2" t="s">
        <v>494</v>
      </c>
      <c r="N43" s="2" t="s">
        <v>495</v>
      </c>
      <c r="O43" s="2" t="s">
        <v>496</v>
      </c>
      <c r="P43" s="2" t="s">
        <v>303</v>
      </c>
      <c r="Q43" s="2" t="s">
        <v>497</v>
      </c>
      <c r="R43" s="2" t="s">
        <v>498</v>
      </c>
      <c r="S43" s="2" t="s">
        <v>466</v>
      </c>
      <c r="T43" s="2">
        <v>700</v>
      </c>
      <c r="U43" s="2" t="s">
        <v>53</v>
      </c>
      <c r="V43" s="2" t="s">
        <v>38</v>
      </c>
    </row>
    <row r="44" spans="1:22" ht="23.25" x14ac:dyDescent="0.45">
      <c r="A44" s="2" t="s">
        <v>499</v>
      </c>
      <c r="B44" s="2" t="s">
        <v>455</v>
      </c>
      <c r="C44" s="2" t="s">
        <v>500</v>
      </c>
      <c r="D44" s="2" t="s">
        <v>501</v>
      </c>
      <c r="E44" s="2" t="s">
        <v>331</v>
      </c>
      <c r="F44" s="8" t="s">
        <v>458</v>
      </c>
      <c r="G44" s="6" t="s">
        <v>332</v>
      </c>
      <c r="H44" s="4" t="s">
        <v>27</v>
      </c>
      <c r="I44" s="2" t="s">
        <v>502</v>
      </c>
      <c r="J44" s="2">
        <f t="shared" si="2"/>
        <v>44</v>
      </c>
      <c r="K44" s="2" t="s">
        <v>503</v>
      </c>
      <c r="L44" s="2">
        <f t="shared" si="3"/>
        <v>154</v>
      </c>
      <c r="M44" s="2" t="s">
        <v>504</v>
      </c>
      <c r="N44" s="2" t="s">
        <v>505</v>
      </c>
      <c r="O44" s="2" t="s">
        <v>506</v>
      </c>
      <c r="P44" s="2" t="s">
        <v>64</v>
      </c>
      <c r="Q44" s="2" t="s">
        <v>451</v>
      </c>
      <c r="R44" s="2" t="s">
        <v>507</v>
      </c>
      <c r="S44" s="2" t="s">
        <v>508</v>
      </c>
      <c r="T44" s="2">
        <v>250</v>
      </c>
      <c r="U44" s="2" t="s">
        <v>53</v>
      </c>
      <c r="V44" s="2" t="s">
        <v>38</v>
      </c>
    </row>
    <row r="45" spans="1:22" ht="23.25" x14ac:dyDescent="0.45">
      <c r="A45" s="2" t="s">
        <v>509</v>
      </c>
      <c r="B45" s="2" t="s">
        <v>491</v>
      </c>
      <c r="C45" s="2" t="s">
        <v>510</v>
      </c>
      <c r="D45" s="2" t="s">
        <v>511</v>
      </c>
      <c r="E45" s="2" t="s">
        <v>43</v>
      </c>
      <c r="F45" s="3" t="s">
        <v>25</v>
      </c>
      <c r="G45" s="2" t="s">
        <v>26</v>
      </c>
      <c r="H45" s="4" t="s">
        <v>27</v>
      </c>
      <c r="I45" s="2" t="s">
        <v>512</v>
      </c>
      <c r="J45" s="2">
        <f t="shared" si="2"/>
        <v>46</v>
      </c>
      <c r="K45" s="2" t="s">
        <v>513</v>
      </c>
      <c r="L45" s="2">
        <f t="shared" si="3"/>
        <v>155</v>
      </c>
      <c r="M45" s="2" t="s">
        <v>514</v>
      </c>
      <c r="N45" s="2" t="s">
        <v>515</v>
      </c>
      <c r="O45" s="2" t="s">
        <v>516</v>
      </c>
      <c r="P45" s="2" t="s">
        <v>49</v>
      </c>
      <c r="Q45" s="2" t="s">
        <v>517</v>
      </c>
      <c r="R45" s="2" t="s">
        <v>518</v>
      </c>
      <c r="S45" s="2" t="s">
        <v>519</v>
      </c>
      <c r="T45" s="2">
        <v>350</v>
      </c>
      <c r="U45" s="2" t="s">
        <v>53</v>
      </c>
      <c r="V45" s="2" t="s">
        <v>38</v>
      </c>
    </row>
    <row r="46" spans="1:22" ht="23.25" x14ac:dyDescent="0.45">
      <c r="A46" s="2" t="s">
        <v>520</v>
      </c>
      <c r="B46" s="2" t="s">
        <v>491</v>
      </c>
      <c r="C46" s="2" t="s">
        <v>521</v>
      </c>
      <c r="D46" s="2" t="s">
        <v>522</v>
      </c>
      <c r="E46" s="2" t="s">
        <v>43</v>
      </c>
      <c r="F46" s="3" t="s">
        <v>25</v>
      </c>
      <c r="G46" s="2" t="s">
        <v>26</v>
      </c>
      <c r="H46" s="4" t="s">
        <v>27</v>
      </c>
      <c r="I46" s="2" t="s">
        <v>523</v>
      </c>
      <c r="J46" s="2">
        <f t="shared" si="2"/>
        <v>33</v>
      </c>
      <c r="K46" s="2" t="s">
        <v>524</v>
      </c>
      <c r="L46" s="2">
        <f t="shared" si="3"/>
        <v>144</v>
      </c>
      <c r="M46" s="2" t="s">
        <v>525</v>
      </c>
      <c r="N46" s="2" t="s">
        <v>526</v>
      </c>
      <c r="O46" s="2" t="s">
        <v>527</v>
      </c>
      <c r="P46" s="2" t="s">
        <v>49</v>
      </c>
      <c r="Q46" s="2" t="s">
        <v>528</v>
      </c>
      <c r="R46" s="2" t="s">
        <v>529</v>
      </c>
      <c r="S46" s="2" t="s">
        <v>530</v>
      </c>
      <c r="T46" s="2">
        <v>250</v>
      </c>
      <c r="U46" s="2" t="s">
        <v>53</v>
      </c>
      <c r="V46" s="2" t="s">
        <v>38</v>
      </c>
    </row>
    <row r="47" spans="1:22" ht="23.25" x14ac:dyDescent="0.45">
      <c r="A47" s="2" t="s">
        <v>531</v>
      </c>
      <c r="B47" s="2" t="s">
        <v>491</v>
      </c>
      <c r="C47" s="2" t="s">
        <v>532</v>
      </c>
      <c r="D47" s="2" t="s">
        <v>533</v>
      </c>
      <c r="E47" s="2" t="s">
        <v>534</v>
      </c>
      <c r="F47" s="5" t="s">
        <v>58</v>
      </c>
      <c r="G47" s="2" t="s">
        <v>26</v>
      </c>
      <c r="H47" s="4" t="s">
        <v>27</v>
      </c>
      <c r="I47" s="2" t="s">
        <v>535</v>
      </c>
      <c r="J47" s="2">
        <f t="shared" si="2"/>
        <v>54</v>
      </c>
      <c r="K47" s="2" t="s">
        <v>536</v>
      </c>
      <c r="L47" s="2">
        <f t="shared" si="3"/>
        <v>147</v>
      </c>
      <c r="M47" s="2" t="s">
        <v>537</v>
      </c>
      <c r="N47" s="2" t="s">
        <v>538</v>
      </c>
      <c r="O47" s="2" t="s">
        <v>539</v>
      </c>
      <c r="P47" s="2" t="s">
        <v>303</v>
      </c>
      <c r="Q47" s="2" t="s">
        <v>540</v>
      </c>
      <c r="R47" s="2" t="s">
        <v>541</v>
      </c>
      <c r="S47" s="2" t="s">
        <v>542</v>
      </c>
      <c r="T47" s="2">
        <v>900</v>
      </c>
      <c r="U47" s="2" t="s">
        <v>53</v>
      </c>
      <c r="V47" s="2" t="s">
        <v>38</v>
      </c>
    </row>
    <row r="48" spans="1:22" ht="23.25" x14ac:dyDescent="0.45">
      <c r="A48" s="2" t="s">
        <v>543</v>
      </c>
      <c r="B48" s="2" t="s">
        <v>491</v>
      </c>
      <c r="C48" s="2" t="s">
        <v>544</v>
      </c>
      <c r="D48" s="2" t="s">
        <v>545</v>
      </c>
      <c r="E48" s="2" t="s">
        <v>534</v>
      </c>
      <c r="F48" s="5" t="s">
        <v>58</v>
      </c>
      <c r="G48" s="2" t="s">
        <v>26</v>
      </c>
      <c r="H48" s="4" t="s">
        <v>27</v>
      </c>
      <c r="I48" s="2" t="s">
        <v>546</v>
      </c>
      <c r="J48" s="2">
        <f t="shared" si="2"/>
        <v>50</v>
      </c>
      <c r="K48" s="2" t="s">
        <v>547</v>
      </c>
      <c r="L48" s="2">
        <f t="shared" si="3"/>
        <v>152</v>
      </c>
      <c r="M48" s="2" t="s">
        <v>548</v>
      </c>
      <c r="N48" s="2" t="s">
        <v>549</v>
      </c>
      <c r="O48" s="2" t="s">
        <v>550</v>
      </c>
      <c r="P48" s="2" t="s">
        <v>303</v>
      </c>
      <c r="Q48" s="2" t="s">
        <v>551</v>
      </c>
      <c r="R48" s="2" t="s">
        <v>552</v>
      </c>
      <c r="S48" s="2" t="s">
        <v>284</v>
      </c>
      <c r="T48" s="2">
        <v>950</v>
      </c>
      <c r="U48" s="2" t="s">
        <v>53</v>
      </c>
      <c r="V48" s="2" t="s">
        <v>38</v>
      </c>
    </row>
    <row r="49" spans="1:22" ht="23.25" x14ac:dyDescent="0.45">
      <c r="A49" s="2" t="s">
        <v>553</v>
      </c>
      <c r="B49" s="2" t="s">
        <v>491</v>
      </c>
      <c r="C49" s="2" t="s">
        <v>554</v>
      </c>
      <c r="D49" s="2" t="s">
        <v>555</v>
      </c>
      <c r="E49" s="2" t="s">
        <v>534</v>
      </c>
      <c r="F49" s="7" t="s">
        <v>345</v>
      </c>
      <c r="G49" s="2" t="s">
        <v>26</v>
      </c>
      <c r="H49" s="4" t="s">
        <v>27</v>
      </c>
      <c r="I49" s="2" t="s">
        <v>556</v>
      </c>
      <c r="J49" s="2">
        <f t="shared" si="2"/>
        <v>55</v>
      </c>
      <c r="K49" s="2" t="s">
        <v>557</v>
      </c>
      <c r="L49" s="2">
        <f t="shared" si="3"/>
        <v>146</v>
      </c>
      <c r="M49" s="2" t="s">
        <v>558</v>
      </c>
      <c r="N49" s="2" t="s">
        <v>559</v>
      </c>
      <c r="O49" s="2" t="s">
        <v>560</v>
      </c>
      <c r="P49" s="2" t="s">
        <v>303</v>
      </c>
      <c r="Q49" s="2" t="s">
        <v>561</v>
      </c>
      <c r="R49" s="2" t="s">
        <v>562</v>
      </c>
      <c r="S49" s="2" t="s">
        <v>353</v>
      </c>
      <c r="T49" s="2">
        <v>900</v>
      </c>
      <c r="U49" s="2" t="s">
        <v>53</v>
      </c>
      <c r="V49" s="2" t="s">
        <v>38</v>
      </c>
    </row>
    <row r="50" spans="1:22" ht="23.25" x14ac:dyDescent="0.45">
      <c r="A50" s="2" t="s">
        <v>563</v>
      </c>
      <c r="B50" s="2" t="s">
        <v>491</v>
      </c>
      <c r="C50" s="2" t="s">
        <v>564</v>
      </c>
      <c r="D50" s="2" t="s">
        <v>565</v>
      </c>
      <c r="E50" s="2" t="s">
        <v>534</v>
      </c>
      <c r="F50" s="8" t="s">
        <v>458</v>
      </c>
      <c r="G50" s="2" t="s">
        <v>26</v>
      </c>
      <c r="H50" s="2" t="s">
        <v>93</v>
      </c>
      <c r="I50" s="2" t="s">
        <v>566</v>
      </c>
      <c r="J50" s="2">
        <f t="shared" si="2"/>
        <v>57</v>
      </c>
      <c r="K50" s="2" t="s">
        <v>567</v>
      </c>
      <c r="L50" s="2">
        <f t="shared" si="3"/>
        <v>159</v>
      </c>
      <c r="M50" s="2" t="s">
        <v>568</v>
      </c>
      <c r="N50" s="2" t="s">
        <v>569</v>
      </c>
      <c r="O50" s="2" t="s">
        <v>570</v>
      </c>
      <c r="P50" s="2" t="s">
        <v>303</v>
      </c>
      <c r="Q50" s="2" t="s">
        <v>571</v>
      </c>
      <c r="R50" s="2" t="s">
        <v>572</v>
      </c>
      <c r="S50" s="2" t="s">
        <v>573</v>
      </c>
      <c r="T50" s="2">
        <v>800</v>
      </c>
      <c r="U50" s="2" t="s">
        <v>53</v>
      </c>
      <c r="V50" s="2" t="s">
        <v>38</v>
      </c>
    </row>
    <row r="51" spans="1:22" ht="23.25" x14ac:dyDescent="0.45">
      <c r="A51" s="2" t="s">
        <v>574</v>
      </c>
      <c r="B51" s="2" t="s">
        <v>491</v>
      </c>
      <c r="C51" s="2" t="s">
        <v>575</v>
      </c>
      <c r="D51" s="2" t="s">
        <v>576</v>
      </c>
      <c r="E51" s="2" t="s">
        <v>491</v>
      </c>
      <c r="F51" s="3" t="s">
        <v>25</v>
      </c>
      <c r="G51" s="2" t="s">
        <v>26</v>
      </c>
      <c r="H51" s="4" t="s">
        <v>27</v>
      </c>
      <c r="I51" s="2" t="s">
        <v>577</v>
      </c>
      <c r="J51" s="2">
        <f t="shared" si="2"/>
        <v>48</v>
      </c>
      <c r="K51" s="2" t="s">
        <v>578</v>
      </c>
      <c r="L51" s="2">
        <f t="shared" si="3"/>
        <v>158</v>
      </c>
      <c r="M51" s="2" t="s">
        <v>579</v>
      </c>
      <c r="N51" s="2" t="s">
        <v>580</v>
      </c>
      <c r="O51" s="2" t="s">
        <v>581</v>
      </c>
      <c r="P51" s="2" t="s">
        <v>303</v>
      </c>
      <c r="Q51" s="2" t="s">
        <v>582</v>
      </c>
      <c r="R51" s="2" t="s">
        <v>583</v>
      </c>
      <c r="S51" s="2" t="s">
        <v>584</v>
      </c>
      <c r="T51" s="2">
        <v>750</v>
      </c>
      <c r="U51" s="2" t="s">
        <v>53</v>
      </c>
      <c r="V51" s="2" t="s">
        <v>38</v>
      </c>
    </row>
    <row r="52" spans="1:22" ht="23.25" x14ac:dyDescent="0.45">
      <c r="A52" s="2" t="s">
        <v>585</v>
      </c>
      <c r="B52" s="2" t="s">
        <v>491</v>
      </c>
      <c r="C52" s="2" t="s">
        <v>586</v>
      </c>
      <c r="D52" s="2" t="s">
        <v>587</v>
      </c>
      <c r="E52" s="2" t="s">
        <v>491</v>
      </c>
      <c r="F52" s="3" t="s">
        <v>25</v>
      </c>
      <c r="G52" s="2" t="s">
        <v>26</v>
      </c>
      <c r="H52" s="2" t="s">
        <v>93</v>
      </c>
      <c r="I52" s="2" t="s">
        <v>588</v>
      </c>
      <c r="J52" s="2">
        <f t="shared" si="2"/>
        <v>42</v>
      </c>
      <c r="K52" s="2" t="s">
        <v>589</v>
      </c>
      <c r="L52" s="2">
        <f t="shared" si="3"/>
        <v>144</v>
      </c>
      <c r="M52" s="2" t="s">
        <v>590</v>
      </c>
      <c r="N52" s="2" t="s">
        <v>591</v>
      </c>
      <c r="O52" s="2" t="s">
        <v>592</v>
      </c>
      <c r="P52" s="2" t="s">
        <v>49</v>
      </c>
      <c r="Q52" s="2" t="s">
        <v>593</v>
      </c>
      <c r="R52" s="2" t="s">
        <v>594</v>
      </c>
      <c r="S52" s="2" t="s">
        <v>595</v>
      </c>
      <c r="T52" s="2">
        <v>400</v>
      </c>
      <c r="U52" s="2" t="s">
        <v>53</v>
      </c>
      <c r="V52" s="2" t="s">
        <v>38</v>
      </c>
    </row>
    <row r="53" spans="1:22" ht="23.25" x14ac:dyDescent="0.45">
      <c r="A53" s="2" t="s">
        <v>596</v>
      </c>
      <c r="B53" s="2" t="s">
        <v>491</v>
      </c>
      <c r="C53" s="2" t="s">
        <v>597</v>
      </c>
      <c r="D53" s="2" t="s">
        <v>598</v>
      </c>
      <c r="E53" s="2" t="s">
        <v>491</v>
      </c>
      <c r="F53" s="3" t="s">
        <v>25</v>
      </c>
      <c r="G53" s="2" t="s">
        <v>26</v>
      </c>
      <c r="H53" s="2" t="s">
        <v>93</v>
      </c>
      <c r="I53" s="2" t="s">
        <v>599</v>
      </c>
      <c r="J53" s="2">
        <f t="shared" si="2"/>
        <v>41</v>
      </c>
      <c r="K53" s="2" t="s">
        <v>600</v>
      </c>
      <c r="L53" s="2">
        <f t="shared" si="3"/>
        <v>151</v>
      </c>
      <c r="M53" s="2" t="s">
        <v>601</v>
      </c>
      <c r="N53" s="2" t="s">
        <v>602</v>
      </c>
      <c r="O53" s="2" t="s">
        <v>603</v>
      </c>
      <c r="P53" s="2" t="s">
        <v>49</v>
      </c>
      <c r="Q53" s="2" t="s">
        <v>604</v>
      </c>
      <c r="R53" s="2" t="s">
        <v>605</v>
      </c>
      <c r="S53" s="2" t="s">
        <v>606</v>
      </c>
      <c r="T53" s="2">
        <v>300</v>
      </c>
      <c r="U53" s="2" t="s">
        <v>37</v>
      </c>
      <c r="V53" s="2" t="s">
        <v>38</v>
      </c>
    </row>
    <row r="54" spans="1:22" ht="23.25" x14ac:dyDescent="0.45">
      <c r="A54" s="2" t="s">
        <v>607</v>
      </c>
      <c r="B54" s="2" t="s">
        <v>608</v>
      </c>
      <c r="C54" s="2" t="s">
        <v>609</v>
      </c>
      <c r="D54" s="2" t="s">
        <v>610</v>
      </c>
      <c r="E54" s="2" t="s">
        <v>43</v>
      </c>
      <c r="F54" s="3" t="s">
        <v>25</v>
      </c>
      <c r="G54" s="2" t="s">
        <v>26</v>
      </c>
      <c r="H54" s="4" t="s">
        <v>27</v>
      </c>
      <c r="I54" s="2" t="s">
        <v>611</v>
      </c>
      <c r="J54" s="2">
        <f t="shared" si="2"/>
        <v>51</v>
      </c>
      <c r="K54" s="2" t="s">
        <v>612</v>
      </c>
      <c r="L54" s="2">
        <f t="shared" si="3"/>
        <v>151</v>
      </c>
      <c r="M54" s="2" t="s">
        <v>613</v>
      </c>
      <c r="N54" s="2" t="s">
        <v>614</v>
      </c>
      <c r="O54" s="2" t="s">
        <v>615</v>
      </c>
      <c r="P54" s="2" t="s">
        <v>49</v>
      </c>
      <c r="Q54" s="2" t="s">
        <v>616</v>
      </c>
      <c r="R54" s="2" t="s">
        <v>617</v>
      </c>
      <c r="S54" s="2" t="s">
        <v>530</v>
      </c>
      <c r="T54" s="2">
        <v>300</v>
      </c>
      <c r="U54" s="2" t="s">
        <v>53</v>
      </c>
      <c r="V54" s="2" t="s">
        <v>38</v>
      </c>
    </row>
    <row r="55" spans="1:22" ht="23.25" x14ac:dyDescent="0.45">
      <c r="A55" s="2" t="s">
        <v>618</v>
      </c>
      <c r="B55" s="2" t="s">
        <v>608</v>
      </c>
      <c r="C55" s="2" t="s">
        <v>619</v>
      </c>
      <c r="D55" s="2" t="s">
        <v>620</v>
      </c>
      <c r="E55" s="2" t="s">
        <v>331</v>
      </c>
      <c r="F55" s="5" t="s">
        <v>58</v>
      </c>
      <c r="G55" s="6" t="s">
        <v>332</v>
      </c>
      <c r="H55" s="4" t="s">
        <v>27</v>
      </c>
      <c r="I55" s="2" t="s">
        <v>621</v>
      </c>
      <c r="J55" s="2">
        <f t="shared" si="2"/>
        <v>34</v>
      </c>
      <c r="K55" s="2" t="s">
        <v>622</v>
      </c>
      <c r="L55" s="2">
        <f t="shared" si="3"/>
        <v>150</v>
      </c>
      <c r="M55" s="2" t="s">
        <v>623</v>
      </c>
      <c r="N55" s="2" t="s">
        <v>624</v>
      </c>
      <c r="O55" s="2" t="s">
        <v>625</v>
      </c>
      <c r="P55" s="2" t="s">
        <v>64</v>
      </c>
      <c r="Q55" s="2" t="s">
        <v>451</v>
      </c>
      <c r="R55" s="2" t="s">
        <v>626</v>
      </c>
      <c r="S55" s="2" t="s">
        <v>156</v>
      </c>
      <c r="T55" s="2">
        <v>250</v>
      </c>
      <c r="U55" s="2" t="s">
        <v>53</v>
      </c>
      <c r="V55" s="2" t="s">
        <v>38</v>
      </c>
    </row>
    <row r="56" spans="1:22" ht="23.25" x14ac:dyDescent="0.45">
      <c r="A56" s="2" t="s">
        <v>627</v>
      </c>
      <c r="B56" s="2" t="s">
        <v>608</v>
      </c>
      <c r="C56" s="2" t="s">
        <v>628</v>
      </c>
      <c r="D56" s="2" t="s">
        <v>629</v>
      </c>
      <c r="E56" s="2" t="s">
        <v>331</v>
      </c>
      <c r="F56" s="3" t="s">
        <v>25</v>
      </c>
      <c r="G56" s="6" t="s">
        <v>332</v>
      </c>
      <c r="H56" s="2" t="s">
        <v>93</v>
      </c>
      <c r="I56" s="2" t="s">
        <v>630</v>
      </c>
      <c r="J56" s="2">
        <f t="shared" si="2"/>
        <v>24</v>
      </c>
      <c r="K56" s="2" t="s">
        <v>631</v>
      </c>
      <c r="L56" s="2">
        <f t="shared" si="3"/>
        <v>148</v>
      </c>
      <c r="M56" s="2" t="s">
        <v>628</v>
      </c>
      <c r="N56" s="2" t="s">
        <v>632</v>
      </c>
      <c r="O56" s="2" t="s">
        <v>633</v>
      </c>
      <c r="P56" s="2" t="s">
        <v>64</v>
      </c>
      <c r="Q56" s="2" t="s">
        <v>634</v>
      </c>
      <c r="R56" s="2" t="s">
        <v>635</v>
      </c>
      <c r="S56" s="2" t="s">
        <v>636</v>
      </c>
      <c r="T56" s="2">
        <v>200</v>
      </c>
      <c r="U56" s="2" t="s">
        <v>37</v>
      </c>
      <c r="V56" s="2" t="s">
        <v>38</v>
      </c>
    </row>
    <row r="57" spans="1:22" ht="23.25" x14ac:dyDescent="0.45">
      <c r="A57" s="2" t="s">
        <v>637</v>
      </c>
      <c r="B57" s="2" t="s">
        <v>608</v>
      </c>
      <c r="C57" s="2" t="s">
        <v>638</v>
      </c>
      <c r="D57" s="2" t="s">
        <v>639</v>
      </c>
      <c r="E57" s="2" t="s">
        <v>43</v>
      </c>
      <c r="F57" s="3" t="s">
        <v>25</v>
      </c>
      <c r="G57" s="2" t="s">
        <v>26</v>
      </c>
      <c r="H57" s="2" t="s">
        <v>93</v>
      </c>
      <c r="I57" s="2" t="s">
        <v>640</v>
      </c>
      <c r="J57" s="2">
        <f t="shared" si="2"/>
        <v>22</v>
      </c>
      <c r="K57" s="2" t="s">
        <v>641</v>
      </c>
      <c r="L57" s="2">
        <f t="shared" si="3"/>
        <v>157</v>
      </c>
      <c r="M57" s="2" t="s">
        <v>642</v>
      </c>
      <c r="N57" s="2" t="s">
        <v>643</v>
      </c>
      <c r="O57" s="2" t="s">
        <v>644</v>
      </c>
      <c r="P57" s="2" t="s">
        <v>645</v>
      </c>
      <c r="Q57" s="2" t="s">
        <v>646</v>
      </c>
      <c r="R57" s="2" t="s">
        <v>647</v>
      </c>
      <c r="S57" s="2" t="s">
        <v>648</v>
      </c>
      <c r="T57" s="2">
        <v>250</v>
      </c>
      <c r="U57" s="2" t="s">
        <v>649</v>
      </c>
      <c r="V57" s="2" t="s">
        <v>38</v>
      </c>
    </row>
    <row r="58" spans="1:22" ht="23.25" x14ac:dyDescent="0.45">
      <c r="A58" s="2" t="s">
        <v>650</v>
      </c>
      <c r="B58" s="2" t="s">
        <v>651</v>
      </c>
      <c r="C58" s="2" t="s">
        <v>652</v>
      </c>
      <c r="D58" s="2" t="s">
        <v>653</v>
      </c>
      <c r="E58" s="2" t="s">
        <v>651</v>
      </c>
      <c r="F58" s="3" t="s">
        <v>25</v>
      </c>
      <c r="G58" s="2" t="s">
        <v>26</v>
      </c>
      <c r="H58" s="4" t="s">
        <v>27</v>
      </c>
      <c r="I58" s="2" t="s">
        <v>654</v>
      </c>
      <c r="J58" s="2">
        <f t="shared" si="2"/>
        <v>48</v>
      </c>
      <c r="K58" s="2" t="s">
        <v>655</v>
      </c>
      <c r="L58" s="2">
        <f t="shared" si="3"/>
        <v>145</v>
      </c>
      <c r="M58" s="2" t="s">
        <v>656</v>
      </c>
      <c r="N58" s="2" t="s">
        <v>657</v>
      </c>
      <c r="O58" s="2" t="s">
        <v>658</v>
      </c>
      <c r="P58" s="2" t="s">
        <v>659</v>
      </c>
      <c r="Q58" s="2" t="s">
        <v>660</v>
      </c>
      <c r="R58" s="2" t="s">
        <v>661</v>
      </c>
      <c r="S58" s="2" t="s">
        <v>662</v>
      </c>
      <c r="T58" s="2">
        <v>800</v>
      </c>
      <c r="U58" s="2" t="s">
        <v>37</v>
      </c>
      <c r="V58" s="2" t="s">
        <v>38</v>
      </c>
    </row>
    <row r="59" spans="1:22" ht="23.25" x14ac:dyDescent="0.45">
      <c r="A59" s="2" t="s">
        <v>663</v>
      </c>
      <c r="B59" s="2" t="s">
        <v>651</v>
      </c>
      <c r="C59" s="2" t="s">
        <v>664</v>
      </c>
      <c r="D59" s="2" t="s">
        <v>665</v>
      </c>
      <c r="E59" s="2" t="s">
        <v>651</v>
      </c>
      <c r="F59" s="3" t="s">
        <v>25</v>
      </c>
      <c r="G59" s="2" t="s">
        <v>26</v>
      </c>
      <c r="H59" s="4" t="s">
        <v>27</v>
      </c>
      <c r="I59" s="2" t="s">
        <v>666</v>
      </c>
      <c r="J59" s="2">
        <f t="shared" si="2"/>
        <v>45</v>
      </c>
      <c r="K59" s="2" t="s">
        <v>667</v>
      </c>
      <c r="L59" s="2">
        <f t="shared" si="3"/>
        <v>148</v>
      </c>
      <c r="M59" s="2" t="s">
        <v>668</v>
      </c>
      <c r="N59" s="2" t="s">
        <v>669</v>
      </c>
      <c r="O59" s="2" t="s">
        <v>670</v>
      </c>
      <c r="P59" s="2" t="s">
        <v>659</v>
      </c>
      <c r="Q59" s="2" t="s">
        <v>671</v>
      </c>
      <c r="R59" s="2" t="s">
        <v>672</v>
      </c>
      <c r="S59" s="2" t="s">
        <v>673</v>
      </c>
      <c r="T59" s="2">
        <v>600</v>
      </c>
      <c r="U59" s="2" t="s">
        <v>53</v>
      </c>
      <c r="V59" s="2" t="s">
        <v>38</v>
      </c>
    </row>
    <row r="60" spans="1:22" ht="23.25" x14ac:dyDescent="0.45">
      <c r="A60" s="2" t="s">
        <v>674</v>
      </c>
      <c r="B60" s="2" t="s">
        <v>651</v>
      </c>
      <c r="C60" s="2" t="s">
        <v>675</v>
      </c>
      <c r="D60" s="2" t="s">
        <v>676</v>
      </c>
      <c r="E60" s="2" t="s">
        <v>651</v>
      </c>
      <c r="F60" s="3" t="s">
        <v>25</v>
      </c>
      <c r="G60" s="2" t="s">
        <v>26</v>
      </c>
      <c r="H60" s="2" t="s">
        <v>93</v>
      </c>
      <c r="I60" s="2" t="s">
        <v>677</v>
      </c>
      <c r="J60" s="2">
        <f t="shared" si="2"/>
        <v>45</v>
      </c>
      <c r="K60" s="2" t="s">
        <v>678</v>
      </c>
      <c r="L60" s="2">
        <f t="shared" si="3"/>
        <v>157</v>
      </c>
      <c r="M60" s="2" t="s">
        <v>675</v>
      </c>
      <c r="N60" s="2" t="s">
        <v>679</v>
      </c>
      <c r="O60" s="2" t="s">
        <v>680</v>
      </c>
      <c r="P60" s="2" t="s">
        <v>303</v>
      </c>
      <c r="Q60" s="2" t="s">
        <v>681</v>
      </c>
      <c r="R60" s="2" t="s">
        <v>682</v>
      </c>
      <c r="S60" s="2" t="s">
        <v>683</v>
      </c>
      <c r="T60" s="2">
        <v>500</v>
      </c>
      <c r="U60" s="2" t="s">
        <v>37</v>
      </c>
      <c r="V60" s="2" t="s">
        <v>38</v>
      </c>
    </row>
    <row r="61" spans="1:22" ht="23.25" x14ac:dyDescent="0.45">
      <c r="A61" s="2" t="s">
        <v>684</v>
      </c>
      <c r="B61" s="2" t="s">
        <v>651</v>
      </c>
      <c r="C61" s="2" t="s">
        <v>685</v>
      </c>
      <c r="D61" s="2" t="s">
        <v>686</v>
      </c>
      <c r="E61" s="2" t="s">
        <v>651</v>
      </c>
      <c r="F61" s="3" t="s">
        <v>25</v>
      </c>
      <c r="G61" s="2" t="s">
        <v>26</v>
      </c>
      <c r="H61" s="2" t="s">
        <v>202</v>
      </c>
      <c r="I61" s="2" t="s">
        <v>687</v>
      </c>
      <c r="J61" s="2">
        <f t="shared" si="2"/>
        <v>39</v>
      </c>
      <c r="K61" s="2" t="s">
        <v>688</v>
      </c>
      <c r="L61" s="2">
        <f t="shared" si="3"/>
        <v>140</v>
      </c>
      <c r="M61" s="2" t="s">
        <v>689</v>
      </c>
      <c r="N61" s="2" t="s">
        <v>690</v>
      </c>
      <c r="O61" s="2" t="s">
        <v>691</v>
      </c>
      <c r="P61" s="2" t="s">
        <v>303</v>
      </c>
      <c r="Q61" s="2" t="s">
        <v>692</v>
      </c>
      <c r="R61" s="2" t="s">
        <v>693</v>
      </c>
      <c r="S61" s="2" t="s">
        <v>694</v>
      </c>
      <c r="T61" s="2">
        <v>450</v>
      </c>
      <c r="U61" s="2" t="s">
        <v>53</v>
      </c>
      <c r="V61" s="2" t="s">
        <v>38</v>
      </c>
    </row>
    <row r="62" spans="1:22" ht="23.25" x14ac:dyDescent="0.45">
      <c r="A62" s="2" t="s">
        <v>695</v>
      </c>
      <c r="B62" s="2" t="s">
        <v>651</v>
      </c>
      <c r="C62" s="2" t="s">
        <v>696</v>
      </c>
      <c r="D62" s="2" t="s">
        <v>697</v>
      </c>
      <c r="E62" s="2" t="s">
        <v>696</v>
      </c>
      <c r="F62" s="3" t="s">
        <v>25</v>
      </c>
      <c r="G62" s="2" t="s">
        <v>26</v>
      </c>
      <c r="H62" s="4" t="s">
        <v>27</v>
      </c>
      <c r="I62" s="2" t="s">
        <v>698</v>
      </c>
      <c r="J62" s="2">
        <f t="shared" si="2"/>
        <v>57</v>
      </c>
      <c r="K62" s="2" t="s">
        <v>699</v>
      </c>
      <c r="L62" s="2">
        <f t="shared" si="3"/>
        <v>147</v>
      </c>
      <c r="M62" s="2" t="s">
        <v>700</v>
      </c>
      <c r="N62" s="2" t="s">
        <v>701</v>
      </c>
      <c r="O62" s="2" t="s">
        <v>702</v>
      </c>
      <c r="P62" s="2" t="s">
        <v>703</v>
      </c>
      <c r="Q62" s="2" t="s">
        <v>704</v>
      </c>
      <c r="R62" s="2" t="s">
        <v>705</v>
      </c>
      <c r="S62" s="2" t="s">
        <v>706</v>
      </c>
      <c r="T62" s="2">
        <v>550</v>
      </c>
      <c r="U62" s="2" t="s">
        <v>53</v>
      </c>
      <c r="V62" s="2" t="s">
        <v>38</v>
      </c>
    </row>
    <row r="63" spans="1:22" ht="23.25" x14ac:dyDescent="0.45">
      <c r="A63" s="2" t="s">
        <v>707</v>
      </c>
      <c r="B63" s="2" t="s">
        <v>708</v>
      </c>
      <c r="C63" s="2" t="s">
        <v>708</v>
      </c>
      <c r="D63" s="2" t="s">
        <v>709</v>
      </c>
      <c r="E63" s="2" t="s">
        <v>708</v>
      </c>
      <c r="F63" s="3" t="s">
        <v>25</v>
      </c>
      <c r="G63" s="2" t="s">
        <v>26</v>
      </c>
      <c r="H63" s="4" t="s">
        <v>27</v>
      </c>
      <c r="I63" s="2" t="s">
        <v>710</v>
      </c>
      <c r="J63" s="2">
        <f t="shared" si="2"/>
        <v>36</v>
      </c>
      <c r="K63" s="2" t="s">
        <v>711</v>
      </c>
      <c r="L63" s="2">
        <f t="shared" si="3"/>
        <v>155</v>
      </c>
      <c r="M63" s="2" t="s">
        <v>712</v>
      </c>
      <c r="N63" s="2" t="s">
        <v>713</v>
      </c>
      <c r="O63" s="2" t="s">
        <v>714</v>
      </c>
      <c r="P63" s="2" t="s">
        <v>715</v>
      </c>
      <c r="Q63" s="2" t="s">
        <v>716</v>
      </c>
      <c r="R63" s="2" t="s">
        <v>717</v>
      </c>
      <c r="S63" s="2" t="s">
        <v>718</v>
      </c>
      <c r="T63" s="2">
        <v>300</v>
      </c>
      <c r="U63" s="2" t="s">
        <v>37</v>
      </c>
      <c r="V63" s="2" t="s">
        <v>38</v>
      </c>
    </row>
    <row r="64" spans="1:22" ht="23.25" x14ac:dyDescent="0.45">
      <c r="A64" s="2" t="s">
        <v>719</v>
      </c>
      <c r="B64" s="2" t="s">
        <v>708</v>
      </c>
      <c r="C64" s="2" t="s">
        <v>720</v>
      </c>
      <c r="D64" s="2" t="s">
        <v>721</v>
      </c>
      <c r="E64" s="2" t="s">
        <v>708</v>
      </c>
      <c r="F64" s="3" t="s">
        <v>25</v>
      </c>
      <c r="G64" s="2" t="s">
        <v>26</v>
      </c>
      <c r="H64" s="4" t="s">
        <v>27</v>
      </c>
      <c r="I64" s="2" t="s">
        <v>722</v>
      </c>
      <c r="J64" s="2">
        <f t="shared" si="2"/>
        <v>49</v>
      </c>
      <c r="K64" s="2" t="s">
        <v>723</v>
      </c>
      <c r="L64" s="2">
        <f t="shared" si="3"/>
        <v>159</v>
      </c>
      <c r="M64" s="2" t="s">
        <v>724</v>
      </c>
      <c r="N64" s="2" t="s">
        <v>725</v>
      </c>
      <c r="O64" s="2" t="s">
        <v>726</v>
      </c>
      <c r="P64" s="2" t="s">
        <v>715</v>
      </c>
      <c r="Q64" s="2" t="s">
        <v>727</v>
      </c>
      <c r="R64" s="2" t="s">
        <v>728</v>
      </c>
      <c r="S64" s="2" t="s">
        <v>729</v>
      </c>
      <c r="T64" s="2">
        <v>350</v>
      </c>
      <c r="U64" s="2" t="s">
        <v>53</v>
      </c>
      <c r="V64" s="2" t="s">
        <v>38</v>
      </c>
    </row>
    <row r="65" spans="1:22" ht="23.25" x14ac:dyDescent="0.45">
      <c r="A65" s="2" t="s">
        <v>730</v>
      </c>
      <c r="B65" s="2" t="s">
        <v>708</v>
      </c>
      <c r="C65" s="2" t="s">
        <v>731</v>
      </c>
      <c r="D65" s="2" t="s">
        <v>732</v>
      </c>
      <c r="E65" s="2" t="s">
        <v>331</v>
      </c>
      <c r="F65" s="3" t="s">
        <v>25</v>
      </c>
      <c r="G65" s="6" t="s">
        <v>332</v>
      </c>
      <c r="H65" s="4" t="s">
        <v>27</v>
      </c>
      <c r="I65" s="2" t="s">
        <v>733</v>
      </c>
      <c r="J65" s="2">
        <f t="shared" si="2"/>
        <v>25</v>
      </c>
      <c r="K65" s="2" t="s">
        <v>734</v>
      </c>
      <c r="L65" s="2">
        <f t="shared" si="3"/>
        <v>148</v>
      </c>
      <c r="M65" s="2" t="s">
        <v>735</v>
      </c>
      <c r="N65" s="2" t="s">
        <v>736</v>
      </c>
      <c r="O65" s="2" t="s">
        <v>737</v>
      </c>
      <c r="P65" s="2" t="s">
        <v>64</v>
      </c>
      <c r="Q65" s="2" t="s">
        <v>451</v>
      </c>
      <c r="R65" s="2" t="s">
        <v>738</v>
      </c>
      <c r="S65" s="2" t="s">
        <v>339</v>
      </c>
      <c r="T65" s="2">
        <v>250</v>
      </c>
      <c r="U65" s="2" t="s">
        <v>53</v>
      </c>
      <c r="V65" s="2" t="s">
        <v>38</v>
      </c>
    </row>
    <row r="66" spans="1:22" ht="23.25" x14ac:dyDescent="0.45">
      <c r="A66" s="2" t="s">
        <v>739</v>
      </c>
      <c r="B66" s="2" t="s">
        <v>708</v>
      </c>
      <c r="C66" s="2" t="s">
        <v>740</v>
      </c>
      <c r="D66" s="2" t="s">
        <v>741</v>
      </c>
      <c r="E66" s="2" t="s">
        <v>331</v>
      </c>
      <c r="F66" s="5" t="s">
        <v>58</v>
      </c>
      <c r="G66" s="6" t="s">
        <v>332</v>
      </c>
      <c r="H66" s="2" t="s">
        <v>93</v>
      </c>
      <c r="I66" s="2" t="s">
        <v>742</v>
      </c>
      <c r="J66" s="2">
        <f t="shared" ref="J66:J97" si="4">LEN(I66)</f>
        <v>42</v>
      </c>
      <c r="K66" s="2" t="s">
        <v>743</v>
      </c>
      <c r="L66" s="2">
        <f t="shared" ref="L66:L97" si="5">LEN(K66)</f>
        <v>145</v>
      </c>
      <c r="M66" s="2" t="s">
        <v>744</v>
      </c>
      <c r="N66" s="2" t="s">
        <v>745</v>
      </c>
      <c r="O66" s="2" t="s">
        <v>746</v>
      </c>
      <c r="P66" s="2" t="s">
        <v>64</v>
      </c>
      <c r="Q66" s="2" t="s">
        <v>451</v>
      </c>
      <c r="R66" s="2" t="s">
        <v>747</v>
      </c>
      <c r="S66" s="2" t="s">
        <v>339</v>
      </c>
      <c r="T66" s="2">
        <v>250</v>
      </c>
      <c r="U66" s="2" t="s">
        <v>53</v>
      </c>
      <c r="V66" s="2" t="s">
        <v>38</v>
      </c>
    </row>
    <row r="67" spans="1:22" ht="23.25" x14ac:dyDescent="0.45">
      <c r="A67" s="2" t="s">
        <v>748</v>
      </c>
      <c r="B67" s="2" t="s">
        <v>749</v>
      </c>
      <c r="C67" s="2" t="s">
        <v>750</v>
      </c>
      <c r="D67" s="2" t="s">
        <v>751</v>
      </c>
      <c r="E67" s="2" t="s">
        <v>749</v>
      </c>
      <c r="F67" s="3" t="s">
        <v>25</v>
      </c>
      <c r="G67" s="2" t="s">
        <v>26</v>
      </c>
      <c r="H67" s="4" t="s">
        <v>27</v>
      </c>
      <c r="I67" s="2" t="s">
        <v>752</v>
      </c>
      <c r="J67" s="2">
        <f t="shared" si="4"/>
        <v>20</v>
      </c>
      <c r="K67" s="2" t="s">
        <v>753</v>
      </c>
      <c r="L67" s="2">
        <f t="shared" si="5"/>
        <v>132</v>
      </c>
      <c r="M67" s="2" t="s">
        <v>754</v>
      </c>
      <c r="N67" s="2" t="s">
        <v>755</v>
      </c>
      <c r="O67" s="2" t="s">
        <v>756</v>
      </c>
      <c r="P67" s="2" t="s">
        <v>757</v>
      </c>
      <c r="Q67" s="2" t="s">
        <v>758</v>
      </c>
      <c r="R67" s="2" t="s">
        <v>759</v>
      </c>
      <c r="S67" s="2" t="s">
        <v>758</v>
      </c>
      <c r="T67" s="2">
        <v>900</v>
      </c>
      <c r="U67" s="2" t="s">
        <v>53</v>
      </c>
      <c r="V67" s="2" t="s">
        <v>38</v>
      </c>
    </row>
    <row r="68" spans="1:22" ht="23.25" x14ac:dyDescent="0.45">
      <c r="A68" s="2" t="s">
        <v>760</v>
      </c>
      <c r="B68" s="2" t="s">
        <v>749</v>
      </c>
      <c r="C68" s="2" t="s">
        <v>761</v>
      </c>
      <c r="D68" s="2" t="s">
        <v>762</v>
      </c>
      <c r="E68" s="2" t="s">
        <v>749</v>
      </c>
      <c r="F68" s="3" t="s">
        <v>25</v>
      </c>
      <c r="G68" s="2" t="s">
        <v>26</v>
      </c>
      <c r="H68" s="4" t="s">
        <v>27</v>
      </c>
      <c r="I68" s="2" t="s">
        <v>763</v>
      </c>
      <c r="J68" s="2">
        <f t="shared" si="4"/>
        <v>19</v>
      </c>
      <c r="K68" s="2" t="s">
        <v>764</v>
      </c>
      <c r="L68" s="2">
        <f t="shared" si="5"/>
        <v>120</v>
      </c>
      <c r="M68" s="2" t="s">
        <v>765</v>
      </c>
      <c r="N68" s="2" t="s">
        <v>766</v>
      </c>
      <c r="O68" s="2" t="s">
        <v>767</v>
      </c>
      <c r="P68" s="2" t="s">
        <v>757</v>
      </c>
      <c r="Q68" s="2" t="s">
        <v>758</v>
      </c>
      <c r="R68" s="2" t="s">
        <v>768</v>
      </c>
      <c r="S68" s="2" t="s">
        <v>769</v>
      </c>
      <c r="T68" s="2">
        <v>600</v>
      </c>
      <c r="U68" s="2" t="s">
        <v>53</v>
      </c>
      <c r="V68" s="2" t="s">
        <v>38</v>
      </c>
    </row>
    <row r="69" spans="1:22" ht="23.25" x14ac:dyDescent="0.45">
      <c r="A69" s="2" t="s">
        <v>770</v>
      </c>
      <c r="B69" s="2" t="s">
        <v>749</v>
      </c>
      <c r="C69" s="2" t="s">
        <v>771</v>
      </c>
      <c r="D69" s="2" t="s">
        <v>772</v>
      </c>
      <c r="E69" s="2" t="s">
        <v>749</v>
      </c>
      <c r="F69" s="3" t="s">
        <v>25</v>
      </c>
      <c r="G69" s="2" t="s">
        <v>26</v>
      </c>
      <c r="H69" s="2" t="s">
        <v>93</v>
      </c>
      <c r="I69" s="2" t="s">
        <v>773</v>
      </c>
      <c r="J69" s="2">
        <f t="shared" si="4"/>
        <v>32</v>
      </c>
      <c r="K69" s="2" t="s">
        <v>774</v>
      </c>
      <c r="L69" s="2">
        <f t="shared" si="5"/>
        <v>139</v>
      </c>
      <c r="M69" s="2" t="s">
        <v>775</v>
      </c>
      <c r="N69" s="2" t="s">
        <v>776</v>
      </c>
      <c r="O69" s="2" t="s">
        <v>777</v>
      </c>
      <c r="P69" s="2" t="s">
        <v>757</v>
      </c>
      <c r="Q69" s="2" t="s">
        <v>758</v>
      </c>
      <c r="R69" s="2" t="s">
        <v>778</v>
      </c>
      <c r="S69" s="2" t="s">
        <v>758</v>
      </c>
      <c r="T69" s="2">
        <v>700</v>
      </c>
      <c r="U69" s="2" t="s">
        <v>53</v>
      </c>
      <c r="V69" s="2" t="s">
        <v>38</v>
      </c>
    </row>
    <row r="70" spans="1:22" ht="23.25" x14ac:dyDescent="0.45">
      <c r="A70" s="2" t="s">
        <v>779</v>
      </c>
      <c r="B70" s="2" t="s">
        <v>749</v>
      </c>
      <c r="C70" s="2" t="s">
        <v>780</v>
      </c>
      <c r="D70" s="2" t="s">
        <v>781</v>
      </c>
      <c r="E70" s="2" t="s">
        <v>749</v>
      </c>
      <c r="F70" s="3" t="s">
        <v>25</v>
      </c>
      <c r="G70" s="2" t="s">
        <v>26</v>
      </c>
      <c r="H70" s="2" t="s">
        <v>202</v>
      </c>
      <c r="I70" s="2" t="s">
        <v>782</v>
      </c>
      <c r="J70" s="2">
        <f t="shared" si="4"/>
        <v>29</v>
      </c>
      <c r="K70" s="2" t="s">
        <v>783</v>
      </c>
      <c r="L70" s="2">
        <f t="shared" si="5"/>
        <v>108</v>
      </c>
      <c r="M70" s="2" t="s">
        <v>780</v>
      </c>
      <c r="N70" s="2" t="s">
        <v>784</v>
      </c>
      <c r="O70" s="2" t="s">
        <v>785</v>
      </c>
      <c r="P70" s="2" t="s">
        <v>757</v>
      </c>
      <c r="Q70" s="2" t="s">
        <v>758</v>
      </c>
      <c r="R70" s="2" t="s">
        <v>786</v>
      </c>
      <c r="S70" s="2" t="s">
        <v>787</v>
      </c>
      <c r="T70" s="2">
        <v>400</v>
      </c>
      <c r="U70" s="2" t="s">
        <v>53</v>
      </c>
      <c r="V70" s="2" t="s">
        <v>38</v>
      </c>
    </row>
    <row r="72" spans="1:22" x14ac:dyDescent="0.45">
      <c r="A72" s="9" t="s">
        <v>788</v>
      </c>
      <c r="H72" s="9">
        <f>COUNTIF(H2:H70,"P1")</f>
        <v>47</v>
      </c>
      <c r="I72" s="10" t="s">
        <v>789</v>
      </c>
      <c r="T72" s="9">
        <f>SUM(T2:T70)</f>
        <v>39200</v>
      </c>
      <c r="U72" s="10" t="s">
        <v>790</v>
      </c>
    </row>
    <row r="73" spans="1:22" x14ac:dyDescent="0.45">
      <c r="I73" s="9">
        <f>COUNTIF(J2:J70,"&gt;60")</f>
        <v>0</v>
      </c>
      <c r="K73" s="10" t="s">
        <v>791</v>
      </c>
      <c r="L73" s="9">
        <f>COUNTIF(L2:L70,"&gt;160")</f>
        <v>0</v>
      </c>
      <c r="M73" s="10" t="s">
        <v>792</v>
      </c>
    </row>
  </sheetData>
  <autoFilter ref="A1:V70" xr:uid="{00000000-0009-0000-0000-000000000000}"/>
  <dataValidations count="1">
    <dataValidation type="list" allowBlank="1" sqref="V2:V70" xr:uid="{00000000-0002-0000-0000-000000000000}">
      <formula1>"Not started,Copy drafted,Design done,Built,Live"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"/>
  <sheetViews>
    <sheetView zoomScaleNormal="100" workbookViewId="0">
      <pane ySplit="1" topLeftCell="A2" activePane="bottomLeft" state="frozen"/>
      <selection pane="bottomLeft" activeCell="B23" sqref="B23"/>
    </sheetView>
  </sheetViews>
  <sheetFormatPr defaultColWidth="8.6640625" defaultRowHeight="14.25" x14ac:dyDescent="0.45"/>
  <cols>
    <col min="1" max="1" width="30" customWidth="1"/>
    <col min="2" max="3" width="74" customWidth="1"/>
  </cols>
  <sheetData>
    <row r="1" spans="1:3" x14ac:dyDescent="0.45">
      <c r="A1" s="11" t="s">
        <v>793</v>
      </c>
      <c r="B1" s="11" t="s">
        <v>794</v>
      </c>
      <c r="C1" s="11" t="s">
        <v>795</v>
      </c>
    </row>
    <row r="2" spans="1:3" ht="23.25" x14ac:dyDescent="0.45">
      <c r="A2" s="12" t="s">
        <v>796</v>
      </c>
      <c r="B2" s="3"/>
      <c r="C2" s="3"/>
    </row>
    <row r="3" spans="1:3" ht="23.25" x14ac:dyDescent="0.45">
      <c r="A3" s="2" t="s">
        <v>8</v>
      </c>
      <c r="B3" s="2" t="s">
        <v>797</v>
      </c>
      <c r="C3" s="2" t="s">
        <v>798</v>
      </c>
    </row>
    <row r="4" spans="1:3" ht="23.25" x14ac:dyDescent="0.45">
      <c r="A4" s="2" t="s">
        <v>10</v>
      </c>
      <c r="B4" s="2" t="s">
        <v>799</v>
      </c>
      <c r="C4" s="2" t="s">
        <v>800</v>
      </c>
    </row>
    <row r="5" spans="1:3" x14ac:dyDescent="0.45">
      <c r="A5" s="2" t="s">
        <v>801</v>
      </c>
      <c r="B5" s="2" t="s">
        <v>802</v>
      </c>
      <c r="C5" s="2" t="s">
        <v>803</v>
      </c>
    </row>
    <row r="6" spans="1:3" x14ac:dyDescent="0.45">
      <c r="A6" s="2" t="s">
        <v>804</v>
      </c>
      <c r="B6" s="2" t="s">
        <v>805</v>
      </c>
      <c r="C6" s="2" t="s">
        <v>806</v>
      </c>
    </row>
    <row r="7" spans="1:3" x14ac:dyDescent="0.45">
      <c r="A7" s="2" t="s">
        <v>11</v>
      </c>
      <c r="B7" s="2" t="s">
        <v>807</v>
      </c>
      <c r="C7" s="2" t="s">
        <v>808</v>
      </c>
    </row>
    <row r="8" spans="1:3" ht="23.25" x14ac:dyDescent="0.45">
      <c r="A8" s="2" t="s">
        <v>809</v>
      </c>
      <c r="B8" s="2" t="s">
        <v>810</v>
      </c>
      <c r="C8" s="2" t="s">
        <v>811</v>
      </c>
    </row>
    <row r="9" spans="1:3" ht="23.25" x14ac:dyDescent="0.45">
      <c r="A9" s="2" t="s">
        <v>812</v>
      </c>
      <c r="B9" s="2" t="s">
        <v>813</v>
      </c>
      <c r="C9" s="2" t="s">
        <v>814</v>
      </c>
    </row>
    <row r="10" spans="1:3" x14ac:dyDescent="0.45">
      <c r="A10" s="2" t="s">
        <v>815</v>
      </c>
      <c r="B10" s="2" t="s">
        <v>816</v>
      </c>
      <c r="C10" s="2" t="s">
        <v>817</v>
      </c>
    </row>
    <row r="11" spans="1:3" x14ac:dyDescent="0.45">
      <c r="A11" s="2" t="s">
        <v>818</v>
      </c>
      <c r="B11" s="2" t="s">
        <v>819</v>
      </c>
      <c r="C11" s="2" t="s">
        <v>820</v>
      </c>
    </row>
    <row r="12" spans="1:3" x14ac:dyDescent="0.45">
      <c r="A12" s="2" t="s">
        <v>821</v>
      </c>
      <c r="B12" s="2" t="s">
        <v>822</v>
      </c>
      <c r="C12" s="2" t="s">
        <v>823</v>
      </c>
    </row>
    <row r="13" spans="1:3" x14ac:dyDescent="0.45">
      <c r="A13" s="2" t="s">
        <v>824</v>
      </c>
      <c r="B13" s="2" t="s">
        <v>825</v>
      </c>
      <c r="C13" s="2" t="s">
        <v>826</v>
      </c>
    </row>
    <row r="14" spans="1:3" ht="23.25" x14ac:dyDescent="0.45">
      <c r="A14" s="2" t="s">
        <v>827</v>
      </c>
      <c r="B14" s="2" t="s">
        <v>828</v>
      </c>
      <c r="C14" s="2" t="s">
        <v>829</v>
      </c>
    </row>
    <row r="15" spans="1:3" x14ac:dyDescent="0.45">
      <c r="A15" s="2"/>
      <c r="B15" s="2"/>
      <c r="C15" s="2"/>
    </row>
    <row r="16" spans="1:3" x14ac:dyDescent="0.45">
      <c r="A16" s="12" t="s">
        <v>830</v>
      </c>
      <c r="B16" s="3"/>
      <c r="C16" s="3"/>
    </row>
    <row r="17" spans="1:3" ht="23.25" x14ac:dyDescent="0.45">
      <c r="A17" s="2" t="s">
        <v>831</v>
      </c>
      <c r="B17" s="2" t="s">
        <v>832</v>
      </c>
      <c r="C17" s="2" t="s">
        <v>833</v>
      </c>
    </row>
    <row r="18" spans="1:3" ht="23.25" x14ac:dyDescent="0.45">
      <c r="A18" s="2" t="s">
        <v>834</v>
      </c>
      <c r="B18" s="2" t="s">
        <v>835</v>
      </c>
      <c r="C18" s="2" t="s">
        <v>836</v>
      </c>
    </row>
    <row r="19" spans="1:3" x14ac:dyDescent="0.45">
      <c r="A19" s="2" t="s">
        <v>837</v>
      </c>
      <c r="B19" s="2" t="s">
        <v>838</v>
      </c>
      <c r="C19" s="2" t="s">
        <v>839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zoomScaleNormal="100" workbookViewId="0">
      <pane ySplit="1" topLeftCell="A23" activePane="bottomLeft" state="frozen"/>
      <selection pane="bottomLeft"/>
    </sheetView>
  </sheetViews>
  <sheetFormatPr defaultColWidth="8.6640625" defaultRowHeight="14.25" x14ac:dyDescent="0.45"/>
  <cols>
    <col min="1" max="1" width="44" customWidth="1"/>
    <col min="2" max="2" width="10" customWidth="1"/>
    <col min="3" max="4" width="16" customWidth="1"/>
    <col min="5" max="5" width="11" customWidth="1"/>
    <col min="6" max="6" width="52" customWidth="1"/>
  </cols>
  <sheetData>
    <row r="1" spans="1:6" x14ac:dyDescent="0.45">
      <c r="A1" s="11" t="s">
        <v>840</v>
      </c>
      <c r="B1" s="11" t="s">
        <v>5</v>
      </c>
      <c r="C1" s="11" t="s">
        <v>841</v>
      </c>
      <c r="D1" s="11" t="s">
        <v>842</v>
      </c>
      <c r="E1" s="11" t="s">
        <v>843</v>
      </c>
      <c r="F1" s="11" t="s">
        <v>844</v>
      </c>
    </row>
    <row r="2" spans="1:6" x14ac:dyDescent="0.45">
      <c r="A2" s="2" t="s">
        <v>280</v>
      </c>
      <c r="B2" s="5" t="s">
        <v>58</v>
      </c>
      <c r="C2" s="2" t="s">
        <v>845</v>
      </c>
      <c r="D2" s="2" t="s">
        <v>285</v>
      </c>
      <c r="E2" s="4" t="s">
        <v>846</v>
      </c>
      <c r="F2" s="2" t="s">
        <v>847</v>
      </c>
    </row>
    <row r="3" spans="1:6" x14ac:dyDescent="0.45">
      <c r="A3" s="2" t="s">
        <v>848</v>
      </c>
      <c r="B3" s="5" t="s">
        <v>58</v>
      </c>
      <c r="C3" s="2" t="s">
        <v>845</v>
      </c>
      <c r="D3" s="2" t="s">
        <v>285</v>
      </c>
      <c r="E3" s="4" t="s">
        <v>846</v>
      </c>
      <c r="F3" s="2" t="s">
        <v>758</v>
      </c>
    </row>
    <row r="4" spans="1:6" x14ac:dyDescent="0.45">
      <c r="A4" s="2" t="s">
        <v>849</v>
      </c>
      <c r="B4" s="5" t="s">
        <v>58</v>
      </c>
      <c r="C4" s="2" t="s">
        <v>845</v>
      </c>
      <c r="D4" s="2" t="s">
        <v>285</v>
      </c>
      <c r="E4" s="2" t="s">
        <v>850</v>
      </c>
      <c r="F4" s="2" t="s">
        <v>758</v>
      </c>
    </row>
    <row r="5" spans="1:6" x14ac:dyDescent="0.45">
      <c r="A5" s="2" t="s">
        <v>851</v>
      </c>
      <c r="B5" s="5" t="s">
        <v>58</v>
      </c>
      <c r="C5" s="2" t="s">
        <v>845</v>
      </c>
      <c r="D5" s="2" t="s">
        <v>285</v>
      </c>
      <c r="E5" s="2" t="s">
        <v>850</v>
      </c>
      <c r="F5" s="2" t="s">
        <v>758</v>
      </c>
    </row>
    <row r="6" spans="1:6" x14ac:dyDescent="0.45">
      <c r="A6" s="2" t="s">
        <v>335</v>
      </c>
      <c r="B6" s="5" t="s">
        <v>58</v>
      </c>
      <c r="C6" s="2" t="s">
        <v>845</v>
      </c>
      <c r="D6" s="2" t="s">
        <v>294</v>
      </c>
      <c r="E6" s="2" t="s">
        <v>850</v>
      </c>
      <c r="F6" s="2" t="s">
        <v>758</v>
      </c>
    </row>
    <row r="7" spans="1:6" x14ac:dyDescent="0.45">
      <c r="A7" s="2" t="s">
        <v>312</v>
      </c>
      <c r="B7" s="5" t="s">
        <v>58</v>
      </c>
      <c r="C7" s="2" t="s">
        <v>845</v>
      </c>
      <c r="D7" s="2" t="s">
        <v>306</v>
      </c>
      <c r="E7" s="2" t="s">
        <v>850</v>
      </c>
      <c r="F7" s="2" t="s">
        <v>758</v>
      </c>
    </row>
    <row r="8" spans="1:6" x14ac:dyDescent="0.45">
      <c r="A8" s="2" t="s">
        <v>74</v>
      </c>
      <c r="B8" s="5" t="s">
        <v>58</v>
      </c>
      <c r="C8" s="2" t="s">
        <v>845</v>
      </c>
      <c r="D8" s="2" t="s">
        <v>68</v>
      </c>
      <c r="E8" s="4" t="s">
        <v>846</v>
      </c>
      <c r="F8" s="2" t="s">
        <v>852</v>
      </c>
    </row>
    <row r="9" spans="1:6" x14ac:dyDescent="0.45">
      <c r="A9" s="2" t="s">
        <v>853</v>
      </c>
      <c r="B9" s="5" t="s">
        <v>58</v>
      </c>
      <c r="C9" s="2" t="s">
        <v>845</v>
      </c>
      <c r="D9" s="2" t="s">
        <v>68</v>
      </c>
      <c r="E9" s="4" t="s">
        <v>846</v>
      </c>
      <c r="F9" s="2" t="s">
        <v>854</v>
      </c>
    </row>
    <row r="10" spans="1:6" x14ac:dyDescent="0.45">
      <c r="A10" s="2" t="s">
        <v>237</v>
      </c>
      <c r="B10" s="5" t="s">
        <v>58</v>
      </c>
      <c r="C10" s="2" t="s">
        <v>845</v>
      </c>
      <c r="D10" s="2" t="s">
        <v>157</v>
      </c>
      <c r="E10" s="4" t="s">
        <v>846</v>
      </c>
      <c r="F10" s="2" t="s">
        <v>855</v>
      </c>
    </row>
    <row r="11" spans="1:6" x14ac:dyDescent="0.45">
      <c r="A11" s="2" t="s">
        <v>856</v>
      </c>
      <c r="B11" s="5" t="s">
        <v>58</v>
      </c>
      <c r="C11" s="2" t="s">
        <v>857</v>
      </c>
      <c r="D11" s="2" t="s">
        <v>68</v>
      </c>
      <c r="E11" s="4" t="s">
        <v>846</v>
      </c>
      <c r="F11" s="2" t="s">
        <v>858</v>
      </c>
    </row>
    <row r="12" spans="1:6" x14ac:dyDescent="0.45">
      <c r="A12" s="2" t="s">
        <v>175</v>
      </c>
      <c r="B12" s="5" t="s">
        <v>58</v>
      </c>
      <c r="C12" s="2" t="s">
        <v>845</v>
      </c>
      <c r="D12" s="2" t="s">
        <v>169</v>
      </c>
      <c r="E12" s="4" t="s">
        <v>846</v>
      </c>
      <c r="F12" s="2" t="s">
        <v>858</v>
      </c>
    </row>
    <row r="13" spans="1:6" x14ac:dyDescent="0.45">
      <c r="A13" s="2" t="s">
        <v>859</v>
      </c>
      <c r="B13" s="5" t="s">
        <v>58</v>
      </c>
      <c r="C13" s="2" t="s">
        <v>845</v>
      </c>
      <c r="D13" s="2" t="s">
        <v>169</v>
      </c>
      <c r="E13" s="4" t="s">
        <v>846</v>
      </c>
      <c r="F13" s="2" t="s">
        <v>854</v>
      </c>
    </row>
    <row r="14" spans="1:6" x14ac:dyDescent="0.45">
      <c r="A14" s="2" t="s">
        <v>62</v>
      </c>
      <c r="B14" s="5" t="s">
        <v>58</v>
      </c>
      <c r="C14" s="2" t="s">
        <v>845</v>
      </c>
      <c r="D14" s="2" t="s">
        <v>54</v>
      </c>
      <c r="E14" s="4" t="s">
        <v>846</v>
      </c>
      <c r="F14" s="2" t="s">
        <v>758</v>
      </c>
    </row>
    <row r="15" spans="1:6" x14ac:dyDescent="0.45">
      <c r="A15" s="2" t="s">
        <v>119</v>
      </c>
      <c r="B15" s="5" t="s">
        <v>58</v>
      </c>
      <c r="C15" s="2" t="s">
        <v>845</v>
      </c>
      <c r="D15" s="2" t="s">
        <v>113</v>
      </c>
      <c r="E15" s="4" t="s">
        <v>846</v>
      </c>
      <c r="F15" s="2" t="s">
        <v>854</v>
      </c>
    </row>
    <row r="16" spans="1:6" x14ac:dyDescent="0.45">
      <c r="A16" s="2" t="s">
        <v>860</v>
      </c>
      <c r="B16" s="5" t="s">
        <v>58</v>
      </c>
      <c r="C16" s="2" t="s">
        <v>845</v>
      </c>
      <c r="D16" s="2" t="s">
        <v>189</v>
      </c>
      <c r="E16" s="2" t="s">
        <v>850</v>
      </c>
      <c r="F16" s="2" t="s">
        <v>861</v>
      </c>
    </row>
    <row r="17" spans="1:6" x14ac:dyDescent="0.45">
      <c r="A17" s="2" t="s">
        <v>862</v>
      </c>
      <c r="B17" s="5" t="s">
        <v>58</v>
      </c>
      <c r="C17" s="2" t="s">
        <v>845</v>
      </c>
      <c r="D17" s="2" t="s">
        <v>189</v>
      </c>
      <c r="E17" s="2" t="s">
        <v>850</v>
      </c>
      <c r="F17" s="2" t="s">
        <v>855</v>
      </c>
    </row>
    <row r="18" spans="1:6" x14ac:dyDescent="0.45">
      <c r="A18" s="2" t="s">
        <v>216</v>
      </c>
      <c r="B18" s="5" t="s">
        <v>58</v>
      </c>
      <c r="C18" s="2" t="s">
        <v>845</v>
      </c>
      <c r="D18" s="2" t="s">
        <v>210</v>
      </c>
      <c r="E18" s="4" t="s">
        <v>846</v>
      </c>
      <c r="F18" s="2" t="s">
        <v>858</v>
      </c>
    </row>
    <row r="19" spans="1:6" x14ac:dyDescent="0.45">
      <c r="A19" s="2" t="s">
        <v>863</v>
      </c>
      <c r="B19" s="5" t="s">
        <v>58</v>
      </c>
      <c r="C19" s="2" t="s">
        <v>845</v>
      </c>
      <c r="D19" s="2" t="s">
        <v>210</v>
      </c>
      <c r="E19" s="2" t="s">
        <v>850</v>
      </c>
      <c r="F19" s="2" t="s">
        <v>861</v>
      </c>
    </row>
    <row r="20" spans="1:6" x14ac:dyDescent="0.45">
      <c r="A20" s="2" t="s">
        <v>268</v>
      </c>
      <c r="B20" s="5" t="s">
        <v>58</v>
      </c>
      <c r="C20" s="2" t="s">
        <v>845</v>
      </c>
      <c r="D20" s="2" t="s">
        <v>262</v>
      </c>
      <c r="E20" s="2" t="s">
        <v>850</v>
      </c>
      <c r="F20" s="2" t="s">
        <v>758</v>
      </c>
    </row>
    <row r="21" spans="1:6" x14ac:dyDescent="0.45">
      <c r="A21" s="2" t="s">
        <v>864</v>
      </c>
      <c r="B21" s="5" t="s">
        <v>58</v>
      </c>
      <c r="C21" s="2" t="s">
        <v>845</v>
      </c>
      <c r="D21" s="2" t="s">
        <v>262</v>
      </c>
      <c r="E21" s="2" t="s">
        <v>865</v>
      </c>
      <c r="F21" s="2" t="s">
        <v>758</v>
      </c>
    </row>
    <row r="22" spans="1:6" x14ac:dyDescent="0.45">
      <c r="A22" s="2" t="s">
        <v>85</v>
      </c>
      <c r="B22" s="5" t="s">
        <v>58</v>
      </c>
      <c r="C22" s="2" t="s">
        <v>845</v>
      </c>
      <c r="D22" s="2" t="s">
        <v>241</v>
      </c>
      <c r="E22" s="4" t="s">
        <v>846</v>
      </c>
      <c r="F22" s="2" t="s">
        <v>858</v>
      </c>
    </row>
    <row r="23" spans="1:6" x14ac:dyDescent="0.45">
      <c r="A23" s="2" t="s">
        <v>866</v>
      </c>
      <c r="B23" s="5" t="s">
        <v>58</v>
      </c>
      <c r="C23" s="2" t="s">
        <v>845</v>
      </c>
      <c r="D23" s="2" t="s">
        <v>79</v>
      </c>
      <c r="E23" s="4" t="s">
        <v>846</v>
      </c>
      <c r="F23" s="2" t="s">
        <v>854</v>
      </c>
    </row>
    <row r="24" spans="1:6" x14ac:dyDescent="0.45">
      <c r="A24" s="2" t="s">
        <v>349</v>
      </c>
      <c r="B24" s="7" t="s">
        <v>345</v>
      </c>
      <c r="C24" s="2" t="s">
        <v>845</v>
      </c>
      <c r="D24" s="2" t="s">
        <v>340</v>
      </c>
      <c r="E24" s="4" t="s">
        <v>846</v>
      </c>
      <c r="F24" s="2" t="s">
        <v>867</v>
      </c>
    </row>
    <row r="25" spans="1:6" x14ac:dyDescent="0.45">
      <c r="A25" s="2" t="s">
        <v>868</v>
      </c>
      <c r="B25" s="7" t="s">
        <v>345</v>
      </c>
      <c r="C25" s="2" t="s">
        <v>845</v>
      </c>
      <c r="D25" s="2" t="s">
        <v>340</v>
      </c>
      <c r="E25" s="4" t="s">
        <v>846</v>
      </c>
      <c r="F25" s="2" t="s">
        <v>758</v>
      </c>
    </row>
    <row r="26" spans="1:6" x14ac:dyDescent="0.45">
      <c r="A26" s="2" t="s">
        <v>869</v>
      </c>
      <c r="B26" s="7" t="s">
        <v>345</v>
      </c>
      <c r="C26" s="2" t="s">
        <v>845</v>
      </c>
      <c r="D26" s="2" t="s">
        <v>340</v>
      </c>
      <c r="E26" s="2" t="s">
        <v>850</v>
      </c>
      <c r="F26" s="2" t="s">
        <v>758</v>
      </c>
    </row>
    <row r="27" spans="1:6" x14ac:dyDescent="0.45">
      <c r="A27" s="2" t="s">
        <v>361</v>
      </c>
      <c r="B27" s="7" t="s">
        <v>345</v>
      </c>
      <c r="C27" s="2" t="s">
        <v>845</v>
      </c>
      <c r="D27" s="2" t="s">
        <v>354</v>
      </c>
      <c r="E27" s="4" t="s">
        <v>846</v>
      </c>
      <c r="F27" s="2" t="s">
        <v>870</v>
      </c>
    </row>
    <row r="28" spans="1:6" x14ac:dyDescent="0.45">
      <c r="A28" s="2" t="s">
        <v>871</v>
      </c>
      <c r="B28" s="7" t="s">
        <v>345</v>
      </c>
      <c r="C28" s="2" t="s">
        <v>872</v>
      </c>
      <c r="D28" s="2" t="s">
        <v>488</v>
      </c>
      <c r="E28" s="2" t="s">
        <v>850</v>
      </c>
      <c r="F28" s="2" t="s">
        <v>873</v>
      </c>
    </row>
    <row r="29" spans="1:6" x14ac:dyDescent="0.45">
      <c r="A29" s="2" t="s">
        <v>874</v>
      </c>
      <c r="B29" s="7" t="s">
        <v>345</v>
      </c>
      <c r="C29" s="2" t="s">
        <v>845</v>
      </c>
      <c r="D29" s="2" t="s">
        <v>354</v>
      </c>
      <c r="E29" s="2" t="s">
        <v>850</v>
      </c>
      <c r="F29" s="2" t="s">
        <v>854</v>
      </c>
    </row>
    <row r="30" spans="1:6" x14ac:dyDescent="0.45">
      <c r="A30" s="2" t="s">
        <v>875</v>
      </c>
      <c r="B30" s="7" t="s">
        <v>345</v>
      </c>
      <c r="C30" s="2" t="s">
        <v>845</v>
      </c>
      <c r="D30" s="2" t="s">
        <v>377</v>
      </c>
      <c r="E30" s="2" t="s">
        <v>850</v>
      </c>
      <c r="F30" s="2" t="s">
        <v>758</v>
      </c>
    </row>
    <row r="31" spans="1:6" x14ac:dyDescent="0.45">
      <c r="A31" s="2" t="s">
        <v>876</v>
      </c>
      <c r="B31" s="7" t="s">
        <v>345</v>
      </c>
      <c r="C31" s="2" t="s">
        <v>845</v>
      </c>
      <c r="D31" s="2" t="s">
        <v>377</v>
      </c>
      <c r="E31" s="2" t="s">
        <v>850</v>
      </c>
      <c r="F31" s="2" t="s">
        <v>758</v>
      </c>
    </row>
    <row r="32" spans="1:6" x14ac:dyDescent="0.45">
      <c r="A32" s="2" t="s">
        <v>394</v>
      </c>
      <c r="B32" s="7" t="s">
        <v>345</v>
      </c>
      <c r="C32" s="2" t="s">
        <v>872</v>
      </c>
      <c r="D32" s="2" t="s">
        <v>388</v>
      </c>
      <c r="E32" s="4" t="s">
        <v>846</v>
      </c>
      <c r="F32" s="2" t="s">
        <v>855</v>
      </c>
    </row>
    <row r="33" spans="1:6" x14ac:dyDescent="0.45">
      <c r="A33" s="2" t="s">
        <v>877</v>
      </c>
      <c r="B33" s="7" t="s">
        <v>345</v>
      </c>
      <c r="C33" s="2" t="s">
        <v>872</v>
      </c>
      <c r="D33" s="2" t="s">
        <v>574</v>
      </c>
      <c r="E33" s="2" t="s">
        <v>850</v>
      </c>
      <c r="F33" s="2" t="s">
        <v>878</v>
      </c>
    </row>
    <row r="34" spans="1:6" x14ac:dyDescent="0.45">
      <c r="A34" s="2" t="s">
        <v>879</v>
      </c>
      <c r="B34" s="7" t="s">
        <v>345</v>
      </c>
      <c r="C34" s="2" t="s">
        <v>872</v>
      </c>
      <c r="D34" s="2" t="s">
        <v>574</v>
      </c>
      <c r="E34" s="2" t="s">
        <v>850</v>
      </c>
      <c r="F34" s="2" t="s">
        <v>758</v>
      </c>
    </row>
    <row r="35" spans="1:6" x14ac:dyDescent="0.45">
      <c r="A35" s="2" t="s">
        <v>880</v>
      </c>
      <c r="B35" s="7" t="s">
        <v>345</v>
      </c>
      <c r="C35" s="2" t="s">
        <v>845</v>
      </c>
      <c r="D35" s="2" t="s">
        <v>388</v>
      </c>
      <c r="E35" s="2" t="s">
        <v>850</v>
      </c>
      <c r="F35" s="2" t="s">
        <v>758</v>
      </c>
    </row>
    <row r="36" spans="1:6" x14ac:dyDescent="0.45">
      <c r="A36" s="2" t="s">
        <v>428</v>
      </c>
      <c r="B36" s="7" t="s">
        <v>345</v>
      </c>
      <c r="C36" s="2" t="s">
        <v>845</v>
      </c>
      <c r="D36" s="2" t="s">
        <v>422</v>
      </c>
      <c r="E36" s="2" t="s">
        <v>850</v>
      </c>
      <c r="F36" s="2" t="s">
        <v>758</v>
      </c>
    </row>
    <row r="37" spans="1:6" x14ac:dyDescent="0.45">
      <c r="A37" s="2" t="s">
        <v>881</v>
      </c>
      <c r="B37" s="7" t="s">
        <v>345</v>
      </c>
      <c r="C37" s="2" t="s">
        <v>882</v>
      </c>
      <c r="D37" s="2" t="s">
        <v>422</v>
      </c>
      <c r="E37" s="2" t="s">
        <v>865</v>
      </c>
      <c r="F37" s="2" t="s">
        <v>758</v>
      </c>
    </row>
    <row r="38" spans="1:6" x14ac:dyDescent="0.45">
      <c r="A38" s="2" t="s">
        <v>883</v>
      </c>
      <c r="B38" s="7" t="s">
        <v>345</v>
      </c>
      <c r="C38" s="2" t="s">
        <v>872</v>
      </c>
      <c r="D38" s="2" t="s">
        <v>410</v>
      </c>
      <c r="E38" s="2" t="s">
        <v>865</v>
      </c>
      <c r="F38" s="2" t="s">
        <v>758</v>
      </c>
    </row>
    <row r="39" spans="1:6" x14ac:dyDescent="0.45">
      <c r="A39" s="2" t="s">
        <v>462</v>
      </c>
      <c r="B39" s="8" t="s">
        <v>458</v>
      </c>
      <c r="C39" s="2" t="s">
        <v>845</v>
      </c>
      <c r="D39" s="2" t="s">
        <v>467</v>
      </c>
      <c r="E39" s="4" t="s">
        <v>846</v>
      </c>
      <c r="F39" s="2" t="s">
        <v>758</v>
      </c>
    </row>
    <row r="40" spans="1:6" x14ac:dyDescent="0.45">
      <c r="A40" s="2" t="s">
        <v>884</v>
      </c>
      <c r="B40" s="8" t="s">
        <v>458</v>
      </c>
      <c r="C40" s="2" t="s">
        <v>845</v>
      </c>
      <c r="D40" s="2" t="s">
        <v>467</v>
      </c>
      <c r="E40" s="4" t="s">
        <v>846</v>
      </c>
      <c r="F40" s="2" t="s">
        <v>854</v>
      </c>
    </row>
    <row r="41" spans="1:6" x14ac:dyDescent="0.45">
      <c r="A41" s="2" t="s">
        <v>885</v>
      </c>
      <c r="B41" s="8" t="s">
        <v>458</v>
      </c>
      <c r="C41" s="2" t="s">
        <v>845</v>
      </c>
      <c r="D41" s="2" t="s">
        <v>467</v>
      </c>
      <c r="E41" s="2" t="s">
        <v>850</v>
      </c>
      <c r="F41" s="2" t="s">
        <v>758</v>
      </c>
    </row>
    <row r="42" spans="1:6" x14ac:dyDescent="0.45">
      <c r="A42" s="2" t="s">
        <v>886</v>
      </c>
      <c r="B42" s="8" t="s">
        <v>458</v>
      </c>
      <c r="C42" s="2" t="s">
        <v>872</v>
      </c>
      <c r="D42" s="2" t="s">
        <v>488</v>
      </c>
      <c r="E42" s="4" t="s">
        <v>846</v>
      </c>
      <c r="F42" s="2" t="s">
        <v>758</v>
      </c>
    </row>
    <row r="43" spans="1:6" x14ac:dyDescent="0.45">
      <c r="A43" s="2" t="s">
        <v>887</v>
      </c>
      <c r="B43" s="8" t="s">
        <v>458</v>
      </c>
      <c r="C43" s="2" t="s">
        <v>872</v>
      </c>
      <c r="D43" s="2" t="s">
        <v>488</v>
      </c>
      <c r="E43" s="2" t="s">
        <v>865</v>
      </c>
      <c r="F43" s="2" t="s">
        <v>873</v>
      </c>
    </row>
    <row r="44" spans="1:6" x14ac:dyDescent="0.45">
      <c r="A44" s="2" t="s">
        <v>888</v>
      </c>
      <c r="B44" s="8" t="s">
        <v>458</v>
      </c>
      <c r="C44" s="2" t="s">
        <v>872</v>
      </c>
      <c r="D44" s="2" t="s">
        <v>488</v>
      </c>
      <c r="E44" s="2" t="s">
        <v>865</v>
      </c>
      <c r="F44" s="2" t="s">
        <v>889</v>
      </c>
    </row>
    <row r="45" spans="1:6" x14ac:dyDescent="0.45">
      <c r="A45" s="2" t="s">
        <v>890</v>
      </c>
      <c r="B45" s="8" t="s">
        <v>458</v>
      </c>
      <c r="C45" s="2" t="s">
        <v>845</v>
      </c>
      <c r="D45" s="2" t="s">
        <v>477</v>
      </c>
      <c r="E45" s="2" t="s">
        <v>850</v>
      </c>
      <c r="F45" s="2" t="s">
        <v>758</v>
      </c>
    </row>
    <row r="46" spans="1:6" x14ac:dyDescent="0.45">
      <c r="A46" s="2" t="s">
        <v>891</v>
      </c>
      <c r="B46" s="3" t="s">
        <v>25</v>
      </c>
      <c r="C46" s="2" t="s">
        <v>892</v>
      </c>
      <c r="D46" s="2" t="s">
        <v>607</v>
      </c>
      <c r="E46" s="2" t="s">
        <v>850</v>
      </c>
      <c r="F46" s="2" t="s">
        <v>893</v>
      </c>
    </row>
    <row r="47" spans="1:6" x14ac:dyDescent="0.45">
      <c r="A47" s="2" t="s">
        <v>894</v>
      </c>
      <c r="B47" s="3" t="s">
        <v>25</v>
      </c>
      <c r="C47" s="2" t="s">
        <v>892</v>
      </c>
      <c r="D47" s="2" t="s">
        <v>607</v>
      </c>
      <c r="E47" s="2" t="s">
        <v>865</v>
      </c>
      <c r="F47" s="2" t="s">
        <v>758</v>
      </c>
    </row>
    <row r="48" spans="1:6" x14ac:dyDescent="0.45">
      <c r="A48" s="2" t="s">
        <v>895</v>
      </c>
      <c r="B48" s="3" t="s">
        <v>25</v>
      </c>
      <c r="C48" s="2" t="s">
        <v>892</v>
      </c>
      <c r="D48" s="2" t="s">
        <v>607</v>
      </c>
      <c r="E48" s="2" t="s">
        <v>865</v>
      </c>
      <c r="F48" s="2" t="s">
        <v>758</v>
      </c>
    </row>
    <row r="49" spans="1:6" x14ac:dyDescent="0.45">
      <c r="A49" s="2" t="s">
        <v>896</v>
      </c>
      <c r="B49" s="3" t="s">
        <v>25</v>
      </c>
      <c r="C49" s="2" t="s">
        <v>892</v>
      </c>
      <c r="D49" s="2" t="s">
        <v>607</v>
      </c>
      <c r="E49" s="2" t="s">
        <v>865</v>
      </c>
      <c r="F49" s="2" t="s">
        <v>758</v>
      </c>
    </row>
    <row r="50" spans="1:6" x14ac:dyDescent="0.45">
      <c r="A50" s="2" t="s">
        <v>897</v>
      </c>
      <c r="B50" s="3" t="s">
        <v>25</v>
      </c>
      <c r="C50" s="2" t="s">
        <v>892</v>
      </c>
      <c r="D50" s="2" t="s">
        <v>607</v>
      </c>
      <c r="E50" s="2" t="s">
        <v>865</v>
      </c>
      <c r="F50" s="2" t="s">
        <v>758</v>
      </c>
    </row>
    <row r="51" spans="1:6" x14ac:dyDescent="0.45">
      <c r="A51" s="2" t="s">
        <v>898</v>
      </c>
      <c r="B51" s="3" t="s">
        <v>25</v>
      </c>
      <c r="C51" s="2" t="s">
        <v>892</v>
      </c>
      <c r="D51" s="2" t="s">
        <v>607</v>
      </c>
      <c r="E51" s="2" t="s">
        <v>850</v>
      </c>
      <c r="F51" s="2" t="s">
        <v>758</v>
      </c>
    </row>
    <row r="52" spans="1:6" x14ac:dyDescent="0.45">
      <c r="A52" s="2" t="s">
        <v>701</v>
      </c>
      <c r="B52" s="3" t="s">
        <v>25</v>
      </c>
      <c r="C52" s="2" t="s">
        <v>899</v>
      </c>
      <c r="D52" s="2" t="s">
        <v>695</v>
      </c>
      <c r="E52" s="2" t="s">
        <v>850</v>
      </c>
      <c r="F52" s="2" t="s">
        <v>900</v>
      </c>
    </row>
    <row r="54" spans="1:6" x14ac:dyDescent="0.45">
      <c r="A54" s="9" t="s">
        <v>901</v>
      </c>
      <c r="E54" s="9">
        <f>COUNTIFS(E2:E52,"High",F2:F52,"None*")</f>
        <v>7</v>
      </c>
    </row>
  </sheetData>
  <autoFilter ref="A1:F5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7"/>
  <sheetViews>
    <sheetView topLeftCell="B1" zoomScaleNormal="100" workbookViewId="0">
      <pane ySplit="1" topLeftCell="A2" activePane="bottomLeft" state="frozen"/>
      <selection pane="bottomLeft" activeCell="C31" sqref="C31"/>
    </sheetView>
  </sheetViews>
  <sheetFormatPr defaultColWidth="8.6640625" defaultRowHeight="14.25" x14ac:dyDescent="0.45"/>
  <cols>
    <col min="1" max="1" width="9" customWidth="1"/>
    <col min="2" max="2" width="28" customWidth="1"/>
    <col min="3" max="3" width="62" customWidth="1"/>
    <col min="4" max="4" width="26" customWidth="1"/>
    <col min="5" max="5" width="52" customWidth="1"/>
    <col min="6" max="6" width="7" customWidth="1"/>
  </cols>
  <sheetData>
    <row r="1" spans="1:6" x14ac:dyDescent="0.45">
      <c r="A1" s="11" t="s">
        <v>902</v>
      </c>
      <c r="B1" s="11" t="s">
        <v>903</v>
      </c>
      <c r="C1" s="11" t="s">
        <v>904</v>
      </c>
      <c r="D1" s="11" t="s">
        <v>905</v>
      </c>
      <c r="E1" s="11" t="s">
        <v>906</v>
      </c>
      <c r="F1" s="11" t="s">
        <v>7</v>
      </c>
    </row>
    <row r="2" spans="1:6" ht="23.25" x14ac:dyDescent="0.45">
      <c r="A2" s="2" t="s">
        <v>907</v>
      </c>
      <c r="B2" s="2" t="s">
        <v>908</v>
      </c>
      <c r="C2" s="2" t="s">
        <v>909</v>
      </c>
      <c r="D2" s="2" t="s">
        <v>910</v>
      </c>
      <c r="E2" s="2" t="s">
        <v>911</v>
      </c>
      <c r="F2" s="4" t="s">
        <v>27</v>
      </c>
    </row>
    <row r="3" spans="1:6" x14ac:dyDescent="0.45">
      <c r="A3" s="2" t="s">
        <v>912</v>
      </c>
      <c r="B3" s="2" t="s">
        <v>913</v>
      </c>
      <c r="C3" s="2" t="s">
        <v>914</v>
      </c>
      <c r="D3" s="2" t="s">
        <v>915</v>
      </c>
      <c r="E3" s="2" t="s">
        <v>916</v>
      </c>
      <c r="F3" s="4" t="s">
        <v>27</v>
      </c>
    </row>
    <row r="4" spans="1:6" x14ac:dyDescent="0.45">
      <c r="A4" s="2" t="s">
        <v>917</v>
      </c>
      <c r="B4" s="2" t="s">
        <v>918</v>
      </c>
      <c r="C4" s="2" t="s">
        <v>919</v>
      </c>
      <c r="D4" s="2" t="s">
        <v>915</v>
      </c>
      <c r="E4" s="2" t="s">
        <v>916</v>
      </c>
      <c r="F4" s="4" t="s">
        <v>27</v>
      </c>
    </row>
    <row r="5" spans="1:6" x14ac:dyDescent="0.45">
      <c r="A5" s="2" t="s">
        <v>920</v>
      </c>
      <c r="B5" s="2" t="s">
        <v>921</v>
      </c>
      <c r="C5" s="2" t="s">
        <v>922</v>
      </c>
      <c r="D5" s="2" t="s">
        <v>915</v>
      </c>
      <c r="E5" s="2" t="s">
        <v>916</v>
      </c>
      <c r="F5" s="4" t="s">
        <v>27</v>
      </c>
    </row>
    <row r="6" spans="1:6" x14ac:dyDescent="0.45">
      <c r="A6" s="2" t="s">
        <v>923</v>
      </c>
      <c r="B6" s="2" t="s">
        <v>924</v>
      </c>
      <c r="C6" s="2" t="s">
        <v>925</v>
      </c>
      <c r="D6" s="2" t="s">
        <v>915</v>
      </c>
      <c r="E6" s="2" t="s">
        <v>926</v>
      </c>
      <c r="F6" s="4" t="s">
        <v>27</v>
      </c>
    </row>
    <row r="7" spans="1:6" x14ac:dyDescent="0.45">
      <c r="A7" s="2" t="s">
        <v>927</v>
      </c>
      <c r="B7" s="2" t="s">
        <v>928</v>
      </c>
      <c r="C7" s="2" t="s">
        <v>929</v>
      </c>
      <c r="D7" s="2" t="s">
        <v>930</v>
      </c>
      <c r="E7" s="2" t="s">
        <v>931</v>
      </c>
      <c r="F7" s="4" t="s">
        <v>27</v>
      </c>
    </row>
    <row r="8" spans="1:6" x14ac:dyDescent="0.45">
      <c r="A8" s="2" t="s">
        <v>932</v>
      </c>
      <c r="B8" s="2" t="s">
        <v>933</v>
      </c>
      <c r="C8" s="2" t="s">
        <v>934</v>
      </c>
      <c r="D8" s="2" t="s">
        <v>935</v>
      </c>
      <c r="E8" s="2" t="s">
        <v>936</v>
      </c>
      <c r="F8" s="4" t="s">
        <v>27</v>
      </c>
    </row>
    <row r="9" spans="1:6" x14ac:dyDescent="0.45">
      <c r="A9" s="2" t="s">
        <v>937</v>
      </c>
      <c r="B9" s="2" t="s">
        <v>938</v>
      </c>
      <c r="C9" s="2" t="s">
        <v>939</v>
      </c>
      <c r="D9" s="2" t="s">
        <v>940</v>
      </c>
      <c r="E9" s="2" t="s">
        <v>931</v>
      </c>
      <c r="F9" s="4" t="s">
        <v>27</v>
      </c>
    </row>
    <row r="10" spans="1:6" x14ac:dyDescent="0.45">
      <c r="A10" s="2" t="s">
        <v>941</v>
      </c>
      <c r="B10" s="2" t="s">
        <v>942</v>
      </c>
      <c r="C10" s="2" t="s">
        <v>943</v>
      </c>
      <c r="D10" s="2" t="s">
        <v>944</v>
      </c>
      <c r="E10" s="2" t="s">
        <v>945</v>
      </c>
      <c r="F10" s="4" t="s">
        <v>27</v>
      </c>
    </row>
    <row r="11" spans="1:6" x14ac:dyDescent="0.45">
      <c r="A11" s="2" t="s">
        <v>946</v>
      </c>
      <c r="B11" s="2" t="s">
        <v>947</v>
      </c>
      <c r="C11" s="2" t="s">
        <v>948</v>
      </c>
      <c r="D11" s="2" t="s">
        <v>915</v>
      </c>
      <c r="E11" s="2" t="s">
        <v>931</v>
      </c>
      <c r="F11" s="2" t="s">
        <v>93</v>
      </c>
    </row>
    <row r="12" spans="1:6" x14ac:dyDescent="0.45">
      <c r="A12" s="2" t="s">
        <v>949</v>
      </c>
      <c r="B12" s="2" t="s">
        <v>950</v>
      </c>
      <c r="C12" s="2" t="s">
        <v>951</v>
      </c>
      <c r="D12" s="2" t="s">
        <v>952</v>
      </c>
      <c r="E12" s="2" t="s">
        <v>931</v>
      </c>
      <c r="F12" s="4" t="s">
        <v>27</v>
      </c>
    </row>
    <row r="13" spans="1:6" x14ac:dyDescent="0.45">
      <c r="A13" s="2" t="s">
        <v>953</v>
      </c>
      <c r="B13" s="2" t="s">
        <v>954</v>
      </c>
      <c r="C13" s="2" t="s">
        <v>955</v>
      </c>
      <c r="D13" s="2" t="s">
        <v>915</v>
      </c>
      <c r="E13" s="2" t="s">
        <v>956</v>
      </c>
      <c r="F13" s="4" t="s">
        <v>27</v>
      </c>
    </row>
    <row r="14" spans="1:6" x14ac:dyDescent="0.45">
      <c r="A14" s="2" t="s">
        <v>957</v>
      </c>
      <c r="B14" s="2" t="s">
        <v>958</v>
      </c>
      <c r="C14" s="2" t="s">
        <v>959</v>
      </c>
      <c r="D14" s="2" t="s">
        <v>915</v>
      </c>
      <c r="E14" s="2" t="s">
        <v>960</v>
      </c>
      <c r="F14" s="4" t="s">
        <v>27</v>
      </c>
    </row>
    <row r="15" spans="1:6" x14ac:dyDescent="0.45">
      <c r="A15" s="2" t="s">
        <v>961</v>
      </c>
      <c r="B15" s="2" t="s">
        <v>962</v>
      </c>
      <c r="C15" s="2" t="s">
        <v>963</v>
      </c>
      <c r="D15" s="2" t="s">
        <v>915</v>
      </c>
      <c r="E15" s="2" t="s">
        <v>964</v>
      </c>
      <c r="F15" s="4" t="s">
        <v>27</v>
      </c>
    </row>
    <row r="16" spans="1:6" x14ac:dyDescent="0.45">
      <c r="A16" s="2" t="s">
        <v>965</v>
      </c>
      <c r="B16" s="2" t="s">
        <v>966</v>
      </c>
      <c r="C16" s="2" t="s">
        <v>967</v>
      </c>
      <c r="D16" s="2" t="s">
        <v>915</v>
      </c>
      <c r="E16" s="2" t="s">
        <v>968</v>
      </c>
      <c r="F16" s="4" t="s">
        <v>27</v>
      </c>
    </row>
    <row r="17" spans="1:6" x14ac:dyDescent="0.45">
      <c r="A17" s="2" t="s">
        <v>969</v>
      </c>
      <c r="B17" s="2" t="s">
        <v>970</v>
      </c>
      <c r="C17" s="2" t="s">
        <v>971</v>
      </c>
      <c r="D17" s="2" t="s">
        <v>972</v>
      </c>
      <c r="E17" s="2" t="s">
        <v>973</v>
      </c>
      <c r="F17" s="4" t="s">
        <v>27</v>
      </c>
    </row>
    <row r="18" spans="1:6" x14ac:dyDescent="0.45">
      <c r="A18" s="2" t="s">
        <v>974</v>
      </c>
      <c r="B18" s="2" t="s">
        <v>975</v>
      </c>
      <c r="C18" s="2" t="s">
        <v>976</v>
      </c>
      <c r="D18" s="2" t="s">
        <v>915</v>
      </c>
      <c r="E18" s="2" t="s">
        <v>977</v>
      </c>
      <c r="F18" s="4" t="s">
        <v>27</v>
      </c>
    </row>
    <row r="19" spans="1:6" x14ac:dyDescent="0.45">
      <c r="A19" s="2" t="s">
        <v>978</v>
      </c>
      <c r="B19" s="2" t="s">
        <v>979</v>
      </c>
      <c r="C19" s="2" t="s">
        <v>980</v>
      </c>
      <c r="D19" s="2" t="s">
        <v>915</v>
      </c>
      <c r="E19" s="2" t="s">
        <v>931</v>
      </c>
      <c r="F19" s="2" t="s">
        <v>93</v>
      </c>
    </row>
    <row r="20" spans="1:6" x14ac:dyDescent="0.45">
      <c r="A20" s="2" t="s">
        <v>981</v>
      </c>
      <c r="B20" s="2" t="s">
        <v>982</v>
      </c>
      <c r="C20" s="2" t="s">
        <v>983</v>
      </c>
      <c r="D20" s="2" t="s">
        <v>910</v>
      </c>
      <c r="E20" s="2" t="s">
        <v>931</v>
      </c>
      <c r="F20" s="2" t="s">
        <v>93</v>
      </c>
    </row>
    <row r="21" spans="1:6" x14ac:dyDescent="0.45">
      <c r="A21" s="2" t="s">
        <v>984</v>
      </c>
      <c r="B21" s="2" t="s">
        <v>985</v>
      </c>
      <c r="C21" s="2" t="s">
        <v>986</v>
      </c>
      <c r="D21" s="2" t="s">
        <v>987</v>
      </c>
      <c r="E21" s="2" t="s">
        <v>988</v>
      </c>
      <c r="F21" s="4" t="s">
        <v>27</v>
      </c>
    </row>
    <row r="22" spans="1:6" x14ac:dyDescent="0.45">
      <c r="A22" s="2" t="s">
        <v>989</v>
      </c>
      <c r="B22" s="2" t="s">
        <v>990</v>
      </c>
      <c r="C22" s="2" t="s">
        <v>991</v>
      </c>
      <c r="D22" s="2" t="s">
        <v>992</v>
      </c>
      <c r="E22" s="2" t="s">
        <v>993</v>
      </c>
      <c r="F22" s="4" t="s">
        <v>27</v>
      </c>
    </row>
    <row r="23" spans="1:6" x14ac:dyDescent="0.45">
      <c r="A23" s="2" t="s">
        <v>994</v>
      </c>
      <c r="B23" s="2" t="s">
        <v>995</v>
      </c>
      <c r="C23" s="2" t="s">
        <v>996</v>
      </c>
      <c r="D23" s="2" t="s">
        <v>915</v>
      </c>
      <c r="E23" s="2" t="s">
        <v>997</v>
      </c>
      <c r="F23" s="2" t="s">
        <v>93</v>
      </c>
    </row>
    <row r="24" spans="1:6" ht="23.25" x14ac:dyDescent="0.45">
      <c r="A24" s="2" t="s">
        <v>998</v>
      </c>
      <c r="B24" s="2" t="s">
        <v>999</v>
      </c>
      <c r="C24" s="2" t="s">
        <v>1000</v>
      </c>
      <c r="D24" s="2" t="s">
        <v>1001</v>
      </c>
      <c r="E24" s="2" t="s">
        <v>1002</v>
      </c>
      <c r="F24" s="4" t="s">
        <v>27</v>
      </c>
    </row>
    <row r="25" spans="1:6" x14ac:dyDescent="0.45">
      <c r="A25" s="2" t="s">
        <v>1003</v>
      </c>
      <c r="B25" s="2" t="s">
        <v>1004</v>
      </c>
      <c r="C25" s="2" t="s">
        <v>1005</v>
      </c>
      <c r="D25" s="2" t="s">
        <v>1006</v>
      </c>
      <c r="E25" s="2" t="s">
        <v>1007</v>
      </c>
      <c r="F25" s="4" t="s">
        <v>27</v>
      </c>
    </row>
    <row r="27" spans="1:6" x14ac:dyDescent="0.45">
      <c r="A27" s="9" t="s">
        <v>1008</v>
      </c>
      <c r="C27" s="10" t="s">
        <v>1009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zoomScaleNormal="100" workbookViewId="0">
      <selection activeCell="B22" sqref="B22"/>
    </sheetView>
  </sheetViews>
  <sheetFormatPr defaultColWidth="8.6640625" defaultRowHeight="14.25" x14ac:dyDescent="0.45"/>
  <cols>
    <col min="1" max="1" width="34" customWidth="1"/>
    <col min="2" max="2" width="110" customWidth="1"/>
  </cols>
  <sheetData>
    <row r="1" spans="1:2" x14ac:dyDescent="0.45">
      <c r="A1" s="11" t="s">
        <v>793</v>
      </c>
      <c r="B1" s="11" t="s">
        <v>1010</v>
      </c>
    </row>
    <row r="2" spans="1:2" x14ac:dyDescent="0.45">
      <c r="A2" s="12" t="s">
        <v>1011</v>
      </c>
      <c r="B2" s="3"/>
    </row>
    <row r="3" spans="1:2" ht="23.25" x14ac:dyDescent="0.45">
      <c r="A3" s="2" t="s">
        <v>1012</v>
      </c>
      <c r="B3" s="2" t="s">
        <v>1013</v>
      </c>
    </row>
    <row r="4" spans="1:2" x14ac:dyDescent="0.45">
      <c r="A4" s="2" t="s">
        <v>1014</v>
      </c>
      <c r="B4" s="2" t="s">
        <v>1015</v>
      </c>
    </row>
    <row r="5" spans="1:2" x14ac:dyDescent="0.45">
      <c r="A5" s="2" t="s">
        <v>1016</v>
      </c>
      <c r="B5" s="2" t="s">
        <v>1017</v>
      </c>
    </row>
    <row r="6" spans="1:2" x14ac:dyDescent="0.45">
      <c r="A6" s="2" t="s">
        <v>6</v>
      </c>
      <c r="B6" s="2" t="s">
        <v>1018</v>
      </c>
    </row>
    <row r="7" spans="1:2" x14ac:dyDescent="0.45">
      <c r="A7" s="2" t="s">
        <v>843</v>
      </c>
      <c r="B7" s="2" t="s">
        <v>1019</v>
      </c>
    </row>
    <row r="8" spans="1:2" x14ac:dyDescent="0.45">
      <c r="A8" s="2" t="s">
        <v>19</v>
      </c>
      <c r="B8" s="2" t="s">
        <v>1020</v>
      </c>
    </row>
    <row r="9" spans="1:2" x14ac:dyDescent="0.45">
      <c r="A9" s="2"/>
      <c r="B9" s="2"/>
    </row>
    <row r="10" spans="1:2" ht="23.25" x14ac:dyDescent="0.45">
      <c r="A10" s="12" t="s">
        <v>1021</v>
      </c>
      <c r="B10" s="3"/>
    </row>
    <row r="11" spans="1:2" x14ac:dyDescent="0.45">
      <c r="A11" s="2" t="s">
        <v>1022</v>
      </c>
      <c r="B11" s="2" t="s">
        <v>1023</v>
      </c>
    </row>
    <row r="12" spans="1:2" x14ac:dyDescent="0.45">
      <c r="A12" s="2" t="s">
        <v>1024</v>
      </c>
      <c r="B12" s="2" t="s">
        <v>1025</v>
      </c>
    </row>
    <row r="13" spans="1:2" x14ac:dyDescent="0.45">
      <c r="A13" s="2" t="s">
        <v>1026</v>
      </c>
      <c r="B13" s="2" t="s">
        <v>1027</v>
      </c>
    </row>
    <row r="14" spans="1:2" x14ac:dyDescent="0.45">
      <c r="A14" s="2"/>
      <c r="B14" s="2"/>
    </row>
    <row r="15" spans="1:2" x14ac:dyDescent="0.45">
      <c r="A15" s="12" t="s">
        <v>1028</v>
      </c>
      <c r="B15" s="3"/>
    </row>
    <row r="16" spans="1:2" ht="23.25" x14ac:dyDescent="0.45">
      <c r="A16" s="2" t="s">
        <v>1029</v>
      </c>
      <c r="B16" s="2" t="s">
        <v>1030</v>
      </c>
    </row>
    <row r="17" spans="1:2" x14ac:dyDescent="0.45">
      <c r="A17" s="2" t="s">
        <v>1031</v>
      </c>
      <c r="B17" s="2" t="s">
        <v>1032</v>
      </c>
    </row>
    <row r="18" spans="1:2" x14ac:dyDescent="0.45">
      <c r="A18" s="2" t="s">
        <v>1033</v>
      </c>
      <c r="B18" s="2" t="s">
        <v>1034</v>
      </c>
    </row>
    <row r="19" spans="1:2" x14ac:dyDescent="0.45">
      <c r="A19" s="2" t="s">
        <v>1035</v>
      </c>
      <c r="B19" s="2" t="s">
        <v>1036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Page Map</vt:lpstr>
      <vt:lpstr>Meta Tag Rules</vt:lpstr>
      <vt:lpstr>SEO Keywords</vt:lpstr>
      <vt:lpstr>Image Brief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Mike Turner</cp:lastModifiedBy>
  <cp:revision>0</cp:revision>
  <dcterms:created xsi:type="dcterms:W3CDTF">2026-08-10T10:41:33Z</dcterms:created>
  <dcterms:modified xsi:type="dcterms:W3CDTF">2026-08-11T07:27:59Z</dcterms:modified>
  <dc:language>en-US</dc:language>
</cp:coreProperties>
</file>